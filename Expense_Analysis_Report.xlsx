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project 1\Personal-Finance-Analysis-Python-Excel\excel\"/>
    </mc:Choice>
  </mc:AlternateContent>
  <xr:revisionPtr revIDLastSave="0" documentId="8_{DD7242AB-3AFF-47E5-B074-84AC0BF6E0D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leaned Data" sheetId="1" r:id="rId1"/>
    <sheet name="Chart Data" sheetId="2" state="hidden" r:id="rId2"/>
    <sheet name="Dashboard" sheetId="3" r:id="rId3"/>
    <sheet name="How It Was Cleane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K12" i="2"/>
  <c r="E12" i="2"/>
  <c r="B12" i="2"/>
  <c r="K11" i="2"/>
  <c r="E11" i="2"/>
  <c r="B11" i="2"/>
  <c r="K10" i="2"/>
  <c r="E10" i="2"/>
  <c r="B10" i="2"/>
  <c r="K9" i="2"/>
  <c r="E9" i="2"/>
  <c r="B9" i="2"/>
  <c r="K8" i="2"/>
  <c r="E8" i="2"/>
  <c r="B8" i="2"/>
  <c r="K7" i="2"/>
  <c r="E7" i="2"/>
  <c r="B7" i="2"/>
  <c r="K6" i="2"/>
  <c r="H6" i="2"/>
  <c r="E6" i="2"/>
  <c r="B6" i="2"/>
  <c r="K5" i="2"/>
  <c r="H5" i="2"/>
  <c r="E5" i="2"/>
  <c r="B5" i="2"/>
  <c r="K4" i="2"/>
  <c r="H4" i="2"/>
  <c r="E4" i="2"/>
  <c r="B4" i="2"/>
  <c r="K3" i="2"/>
  <c r="H3" i="2"/>
  <c r="E3" i="2"/>
  <c r="B3" i="2"/>
  <c r="K2" i="2"/>
  <c r="H2" i="2"/>
  <c r="E2" i="2"/>
  <c r="B2" i="2"/>
</calcChain>
</file>

<file path=xl/sharedStrings.xml><?xml version="1.0" encoding="utf-8"?>
<sst xmlns="http://schemas.openxmlformats.org/spreadsheetml/2006/main" count="1163" uniqueCount="255">
  <si>
    <t>Date</t>
  </si>
  <si>
    <t>Category</t>
  </si>
  <si>
    <t>Description</t>
  </si>
  <si>
    <t>Amount</t>
  </si>
  <si>
    <t>Payment_Mode</t>
  </si>
  <si>
    <t>Year</t>
  </si>
  <si>
    <t>Month</t>
  </si>
  <si>
    <t>2024-01-01</t>
  </si>
  <si>
    <t>Rent</t>
  </si>
  <si>
    <t>House rent</t>
  </si>
  <si>
    <t>UPI</t>
  </si>
  <si>
    <t>January</t>
  </si>
  <si>
    <t>2024-01-02</t>
  </si>
  <si>
    <t>Unknown</t>
  </si>
  <si>
    <t>Electronics</t>
  </si>
  <si>
    <t>Credit Card</t>
  </si>
  <si>
    <t>Shopping</t>
  </si>
  <si>
    <t>Myntra purchase</t>
  </si>
  <si>
    <t>2024-01-04</t>
  </si>
  <si>
    <t>2024-01-16</t>
  </si>
  <si>
    <t>Clothes shopping</t>
  </si>
  <si>
    <t>Cash</t>
  </si>
  <si>
    <t>2024-01-17</t>
  </si>
  <si>
    <t>Healthcare</t>
  </si>
  <si>
    <t>Health checkup</t>
  </si>
  <si>
    <t>Education</t>
  </si>
  <si>
    <t>Tuition fee</t>
  </si>
  <si>
    <t>Debit Card</t>
  </si>
  <si>
    <t>Food</t>
  </si>
  <si>
    <t>Zomato order</t>
  </si>
  <si>
    <t>2024-01-18</t>
  </si>
  <si>
    <t>Cafe coffee</t>
  </si>
  <si>
    <t>2024-01-23</t>
  </si>
  <si>
    <t>Other</t>
  </si>
  <si>
    <t>ATM withdrawal</t>
  </si>
  <si>
    <t>Groceries</t>
  </si>
  <si>
    <t>Monthly groceries</t>
  </si>
  <si>
    <t>2024-01-24</t>
  </si>
  <si>
    <t>Udemy course</t>
  </si>
  <si>
    <t>Donation</t>
  </si>
  <si>
    <t>2024-01-25</t>
  </si>
  <si>
    <t>Transport</t>
  </si>
  <si>
    <t>Uber ride</t>
  </si>
  <si>
    <t>2024-01-26</t>
  </si>
  <si>
    <t>BigBasket order</t>
  </si>
  <si>
    <t>Ola cab</t>
  </si>
  <si>
    <t>2024-01-29</t>
  </si>
  <si>
    <t>2024-01-30</t>
  </si>
  <si>
    <t>Books</t>
  </si>
  <si>
    <t>2024-02-01</t>
  </si>
  <si>
    <t>February</t>
  </si>
  <si>
    <t>2024-02-03</t>
  </si>
  <si>
    <t>Entertainment</t>
  </si>
  <si>
    <t>Spotify premium</t>
  </si>
  <si>
    <t>2024-02-08</t>
  </si>
  <si>
    <t>Utilities</t>
  </si>
  <si>
    <t>Mobile recharge</t>
  </si>
  <si>
    <t>2024-02-09</t>
  </si>
  <si>
    <t>Gaming</t>
  </si>
  <si>
    <t>2024-02-13</t>
  </si>
  <si>
    <t>2024-02-14</t>
  </si>
  <si>
    <t>Monthly rent</t>
  </si>
  <si>
    <t>2024-02-15</t>
  </si>
  <si>
    <t>2024-02-16</t>
  </si>
  <si>
    <t>Electricity bill</t>
  </si>
  <si>
    <t>2024-02-17</t>
  </si>
  <si>
    <t>Netflix subscription</t>
  </si>
  <si>
    <t>2024-02-19</t>
  </si>
  <si>
    <t>Vegetables &amp; fruits</t>
  </si>
  <si>
    <t>2024-02-20</t>
  </si>
  <si>
    <t>Amazon order</t>
  </si>
  <si>
    <t>2024-02-21</t>
  </si>
  <si>
    <t>2024-02-24</t>
  </si>
  <si>
    <t>2024-02-25</t>
  </si>
  <si>
    <t>Movie tickets</t>
  </si>
  <si>
    <t>2024-02-26</t>
  </si>
  <si>
    <t>2024-02-28</t>
  </si>
  <si>
    <t>2024-03-01</t>
  </si>
  <si>
    <t>March</t>
  </si>
  <si>
    <t>2024-03-02</t>
  </si>
  <si>
    <t>2024-03-05</t>
  </si>
  <si>
    <t>Miscellaneous</t>
  </si>
  <si>
    <t>2024-03-07</t>
  </si>
  <si>
    <t>Swiggy delivery</t>
  </si>
  <si>
    <t>2024-03-10</t>
  </si>
  <si>
    <t>2024-03-13</t>
  </si>
  <si>
    <t>2024-03-14</t>
  </si>
  <si>
    <t>Gift</t>
  </si>
  <si>
    <t>2024-03-17</t>
  </si>
  <si>
    <t>2024-03-18</t>
  </si>
  <si>
    <t>Water bill</t>
  </si>
  <si>
    <t>2024-03-19</t>
  </si>
  <si>
    <t>Internet bill</t>
  </si>
  <si>
    <t>2024-03-20</t>
  </si>
  <si>
    <t>2024-03-21</t>
  </si>
  <si>
    <t>2024-03-22</t>
  </si>
  <si>
    <t>Doctor visit</t>
  </si>
  <si>
    <t>2024-03-23</t>
  </si>
  <si>
    <t>2024-03-24</t>
  </si>
  <si>
    <t>Local market</t>
  </si>
  <si>
    <t>2024-03-25</t>
  </si>
  <si>
    <t>2024-03-27</t>
  </si>
  <si>
    <t>2024-03-28</t>
  </si>
  <si>
    <t>2024-03-29</t>
  </si>
  <si>
    <t>2024-04-01</t>
  </si>
  <si>
    <t>April</t>
  </si>
  <si>
    <t>2024-04-02</t>
  </si>
  <si>
    <t>Restaurant dinner</t>
  </si>
  <si>
    <t>2024-04-06</t>
  </si>
  <si>
    <t>Street food</t>
  </si>
  <si>
    <t>2024-04-07</t>
  </si>
  <si>
    <t>2024-04-10</t>
  </si>
  <si>
    <t>2024-04-11</t>
  </si>
  <si>
    <t>2024-04-12</t>
  </si>
  <si>
    <t>2024-04-17</t>
  </si>
  <si>
    <t>2024-04-18</t>
  </si>
  <si>
    <t>2024-04-19</t>
  </si>
  <si>
    <t>2024-04-24</t>
  </si>
  <si>
    <t>2024-04-26</t>
  </si>
  <si>
    <t>2024-04-27</t>
  </si>
  <si>
    <t>2024-04-29</t>
  </si>
  <si>
    <t>2024-04-30</t>
  </si>
  <si>
    <t>2024-05-01</t>
  </si>
  <si>
    <t>May</t>
  </si>
  <si>
    <t>2024-05-03</t>
  </si>
  <si>
    <t>2024-05-04</t>
  </si>
  <si>
    <t>2024-05-05</t>
  </si>
  <si>
    <t>2024-05-06</t>
  </si>
  <si>
    <t>2024-05-08</t>
  </si>
  <si>
    <t>2024-05-09</t>
  </si>
  <si>
    <t>Bus ticket</t>
  </si>
  <si>
    <t>2024-05-13</t>
  </si>
  <si>
    <t>2024-05-14</t>
  </si>
  <si>
    <t>2024-05-15</t>
  </si>
  <si>
    <t>Medicines</t>
  </si>
  <si>
    <t>2024-05-16</t>
  </si>
  <si>
    <t>Online course</t>
  </si>
  <si>
    <t>2024-05-19</t>
  </si>
  <si>
    <t>2024-05-24</t>
  </si>
  <si>
    <t>Petrol</t>
  </si>
  <si>
    <t>2024-05-31</t>
  </si>
  <si>
    <t>2024-06-02</t>
  </si>
  <si>
    <t>June</t>
  </si>
  <si>
    <t>2024-06-03</t>
  </si>
  <si>
    <t>2024-06-05</t>
  </si>
  <si>
    <t>2024-06-08</t>
  </si>
  <si>
    <t>2024-06-13</t>
  </si>
  <si>
    <t>2024-06-14</t>
  </si>
  <si>
    <t>Metro card recharge</t>
  </si>
  <si>
    <t>2024-06-17</t>
  </si>
  <si>
    <t>2024-06-20</t>
  </si>
  <si>
    <t>2024-06-22</t>
  </si>
  <si>
    <t>2024-06-23</t>
  </si>
  <si>
    <t>2024-06-25</t>
  </si>
  <si>
    <t>2024-06-27</t>
  </si>
  <si>
    <t>2024-06-28</t>
  </si>
  <si>
    <t>2024-06-30</t>
  </si>
  <si>
    <t>2024-07-01</t>
  </si>
  <si>
    <t>July</t>
  </si>
  <si>
    <t>2024-07-02</t>
  </si>
  <si>
    <t>2024-07-05</t>
  </si>
  <si>
    <t>2024-07-07</t>
  </si>
  <si>
    <t>2024-07-08</t>
  </si>
  <si>
    <t>2024-07-13</t>
  </si>
  <si>
    <t>2024-07-14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</si>
  <si>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</si>
  <si>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</si>
  <si>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</si>
  <si>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</si>
  <si>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</si>
  <si>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</si>
  <si>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</si>
  <si>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2024-07-26</t>
  </si>
  <si>
    <t>2024-07-27</t>
  </si>
  <si>
    <t>Pharmacy</t>
  </si>
  <si>
    <t>2024-07-28</t>
  </si>
  <si>
    <t>2024-07-29</t>
  </si>
  <si>
    <t>2024-07-31</t>
  </si>
  <si>
    <t>2024-08-02</t>
  </si>
  <si>
    <t>August</t>
  </si>
  <si>
    <t>2024-08-03</t>
  </si>
  <si>
    <t>2024-08-04</t>
  </si>
  <si>
    <t>2024-08-08</t>
  </si>
  <si>
    <t>2024-08-09</t>
  </si>
  <si>
    <t>2024-08-14</t>
  </si>
  <si>
    <t>2024-08-16</t>
  </si>
  <si>
    <t>2024-08-17</t>
  </si>
  <si>
    <t>2024-08-18</t>
  </si>
  <si>
    <t>2024-08-22</t>
  </si>
  <si>
    <t>2024-08-23</t>
  </si>
  <si>
    <t>2024-08-24</t>
  </si>
  <si>
    <t>2024-08-26</t>
  </si>
  <si>
    <t>Not specified</t>
  </si>
  <si>
    <t>2024-08-31</t>
  </si>
  <si>
    <t>2024-09-04</t>
  </si>
  <si>
    <t>September</t>
  </si>
  <si>
    <t>2024-09-05</t>
  </si>
  <si>
    <t>2024-09-06</t>
  </si>
  <si>
    <t>2024-09-07</t>
  </si>
  <si>
    <t>2024-09-10</t>
  </si>
  <si>
    <t>2024-09-11</t>
  </si>
  <si>
    <t>2024-09-15</t>
  </si>
  <si>
    <t>2024-09-16</t>
  </si>
  <si>
    <t>2024-09-17</t>
  </si>
  <si>
    <t>2024-09-20</t>
  </si>
  <si>
    <t>2024-09-27</t>
  </si>
  <si>
    <t>2024-10-01</t>
  </si>
  <si>
    <t>October</t>
  </si>
  <si>
    <t>2024-10-02</t>
  </si>
  <si>
    <t>2024-10-03</t>
  </si>
  <si>
    <t>2024-10-06</t>
  </si>
  <si>
    <t>2024-10-09</t>
  </si>
  <si>
    <t>2024-10-10</t>
  </si>
  <si>
    <t>2024-10-12</t>
  </si>
  <si>
    <t>2024-10-14</t>
  </si>
  <si>
    <t>2024-10-15</t>
  </si>
  <si>
    <t>2024-10-16</t>
  </si>
  <si>
    <t>2024-10-18</t>
  </si>
  <si>
    <t>2024-10-19</t>
  </si>
  <si>
    <t>2024-10-20</t>
  </si>
  <si>
    <t>2024-10-22</t>
  </si>
  <si>
    <t>2024-10-24</t>
  </si>
  <si>
    <t>2024-10-26</t>
  </si>
  <si>
    <t>2024-10-27</t>
  </si>
  <si>
    <t>2024-11-06</t>
  </si>
  <si>
    <t>November</t>
  </si>
  <si>
    <t>2024-11-08</t>
  </si>
  <si>
    <t>2024-11-10</t>
  </si>
  <si>
    <t>2024-12-08</t>
  </si>
  <si>
    <t>December</t>
  </si>
  <si>
    <t>Total Spend</t>
  </si>
  <si>
    <t>Payment Mode</t>
  </si>
  <si>
    <t>Txn Count</t>
  </si>
  <si>
    <t>DATA CLEANING SUMMARY</t>
  </si>
  <si>
    <t>Raw file</t>
  </si>
  <si>
    <t>expenses_raw.csv — 230 rows with real-world messy data.</t>
  </si>
  <si>
    <t>Cleaned file</t>
  </si>
  <si>
    <t>expenses_cleaned.csv — 216 rows after cleaning (see clean_data.py).</t>
  </si>
  <si>
    <t>Cleaning steps performed:</t>
  </si>
  <si>
    <t>1. Removed duplicates</t>
  </si>
  <si>
    <t>10 exact duplicate rows dropped using drop_duplicates().</t>
  </si>
  <si>
    <t>2. Fixed Category text</t>
  </si>
  <si>
    <t>Trimmed whitespace, standardized casing (str.strip().str.title()), fixed typos with a mapping dictionary.</t>
  </si>
  <si>
    <t>3. Fixed Payment_Mode text</t>
  </si>
  <si>
    <t>Same cleanup approach as Category.</t>
  </si>
  <si>
    <t>4. Cleaned Amount column</t>
  </si>
  <si>
    <t>Removed currency symbols (₹, Rs.), fixed comma-as-decimal formatting, removed negative signs, converted to float.</t>
  </si>
  <si>
    <t>5. Parsed mixed Date formats</t>
  </si>
  <si>
    <t>Used pd.to_datetime(..., format='mixed') to handle DD-MM-YYYY, MM/DD/YYYY, and YYYY-MM-DD all in one column.</t>
  </si>
  <si>
    <t>6. Handled missing values</t>
  </si>
  <si>
    <t>Dropped rows missing Amount or Date (unusable for analysis); filled missing Category/Description/Payment_Mode with 'Unknown'/'Not specified'.</t>
  </si>
  <si>
    <t>7. Added derived columns</t>
  </si>
  <si>
    <t>Extracted Year and Month from Date for easier grouping.</t>
  </si>
  <si>
    <t>Tip for interview:</t>
  </si>
  <si>
    <t>Explain the difference between dropping vs filling missing values, and why: some missing values make a row unusable (Amount, Date), while others can be safely labeled 'Unknown'.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</si>
</sst>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8"/>
      <color rgb="FF2C3E50"/>
      <name val="Arial"/>
      <charset val="1"/>
    </font>
    <font>
      <i/>
      <sz val="10"/>
      <color rgb="FF7F8C8D"/>
      <name val="Arial"/>
      <charset val="1"/>
    </font>
    <font>
      <b/>
      <sz val="20"/>
      <color rgb="FFFFFFFF"/>
      <name val="Arial"/>
      <charset val="1"/>
    </font>
    <font>
      <b/>
      <sz val="16"/>
      <color rgb="FFFFFFFF"/>
      <name val="Arial"/>
      <charset val="1"/>
    </font>
    <font>
      <b/>
      <sz val="14"/>
      <color rgb="FF27AE6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7AE60"/>
        <bgColor rgb="FF4299B0"/>
      </patternFill>
    </fill>
    <fill>
      <patternFill patternType="solid">
        <fgColor theme="0"/>
        <bgColor rgb="FF4299B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0" borderId="0" xfId="0" applyFont="1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6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299B0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2C3D5"/>
      <rgbColor rgb="FFD09493"/>
      <rgbColor rgb="FFA99BBD"/>
      <rgbColor rgb="FFFFCC99"/>
      <rgbColor rgb="FF4A7EBB"/>
      <rgbColor rgb="FF4BACC6"/>
      <rgbColor rgb="FF9BBB59"/>
      <rgbColor rgb="FFFFCC00"/>
      <rgbColor rgb="FFFF9900"/>
      <rgbColor rgb="FFFF6600"/>
      <rgbColor rgb="FF725990"/>
      <rgbColor rgb="FF7F8C8D"/>
      <rgbColor rgb="FF003366"/>
      <rgbColor rgb="FF27AE60"/>
      <rgbColor rgb="FF003300"/>
      <rgbColor rgb="FF333300"/>
      <rgbColor rgb="FF993300"/>
      <rgbColor rgb="FFC0504D"/>
      <rgbColor rgb="FF8064A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79A-4432-8673-D21EC8B36808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79A-4432-8673-D21EC8B36808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79A-4432-8673-D21EC8B36808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79A-4432-8673-D21EC8B36808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79A-4432-8673-D21EC8B36808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79A-4432-8673-D21EC8B36808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79A-4432-8673-D21EC8B36808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79A-4432-8673-D21EC8B36808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79A-4432-8673-D21EC8B36808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79A-4432-8673-D21EC8B36808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A79A-4432-8673-D21EC8B3680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79A-4432-8673-D21EC8B3680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79A-4432-8673-D21EC8B3680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79A-4432-8673-D21EC8B3680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79A-4432-8673-D21EC8B3680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79A-4432-8673-D21EC8B3680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79A-4432-8673-D21EC8B36808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79A-4432-8673-D21EC8B36808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A79A-4432-8673-D21EC8B36808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79A-4432-8673-D21EC8B36808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79A-4432-8673-D21EC8B36808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A79A-4432-8673-D21EC8B36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Data'!$A$2:$A$12</c:f>
              <c:strCache>
                <c:ptCount val="11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Groceries</c:v>
                </c:pt>
                <c:pt idx="4">
                  <c:v>Healthcare</c:v>
                </c:pt>
                <c:pt idx="5">
                  <c:v>Other</c:v>
                </c:pt>
                <c:pt idx="6">
                  <c:v>Rent</c:v>
                </c:pt>
                <c:pt idx="7">
                  <c:v>Shopping</c:v>
                </c:pt>
                <c:pt idx="8">
                  <c:v>Transport</c:v>
                </c:pt>
                <c:pt idx="9">
                  <c:v>Unknown</c:v>
                </c:pt>
                <c:pt idx="10">
                  <c:v>Utilities</c:v>
                </c:pt>
              </c:strCache>
            </c:strRef>
          </c:cat>
          <c:val>
            <c:numRef>
              <c:f>'Chart Data'!$B$2:$B$12</c:f>
              <c:numCache>
                <c:formatCode>General</c:formatCode>
                <c:ptCount val="11"/>
                <c:pt idx="0">
                  <c:v>63527</c:v>
                </c:pt>
                <c:pt idx="1">
                  <c:v>14321</c:v>
                </c:pt>
                <c:pt idx="2">
                  <c:v>8304</c:v>
                </c:pt>
                <c:pt idx="3">
                  <c:v>31338</c:v>
                </c:pt>
                <c:pt idx="4">
                  <c:v>29843</c:v>
                </c:pt>
                <c:pt idx="5">
                  <c:v>13242</c:v>
                </c:pt>
                <c:pt idx="6">
                  <c:v>176405</c:v>
                </c:pt>
                <c:pt idx="7">
                  <c:v>68475</c:v>
                </c:pt>
                <c:pt idx="8">
                  <c:v>5045</c:v>
                </c:pt>
                <c:pt idx="9">
                  <c:v>11145</c:v>
                </c:pt>
                <c:pt idx="10">
                  <c:v>23908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9A-4432-8673-D21EC8B36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Data'!$A$2:$A$12</c:f>
              <c:strCache>
                <c:ptCount val="11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Groceries</c:v>
                </c:pt>
                <c:pt idx="4">
                  <c:v>Healthcare</c:v>
                </c:pt>
                <c:pt idx="5">
                  <c:v>Other</c:v>
                </c:pt>
                <c:pt idx="6">
                  <c:v>Rent</c:v>
                </c:pt>
                <c:pt idx="7">
                  <c:v>Shopping</c:v>
                </c:pt>
                <c:pt idx="8">
                  <c:v>Transport</c:v>
                </c:pt>
                <c:pt idx="9">
                  <c:v>Unknown</c:v>
                </c:pt>
                <c:pt idx="10">
                  <c:v>Utilities</c:v>
                </c:pt>
              </c:strCache>
            </c:strRef>
          </c:cat>
          <c:val>
            <c:numRef>
              <c:f>'Chart Data'!$B$2:$B$12</c:f>
              <c:numCache>
                <c:formatCode>General</c:formatCode>
                <c:ptCount val="11"/>
                <c:pt idx="0">
                  <c:v>63527</c:v>
                </c:pt>
                <c:pt idx="1">
                  <c:v>14321</c:v>
                </c:pt>
                <c:pt idx="2">
                  <c:v>8304</c:v>
                </c:pt>
                <c:pt idx="3">
                  <c:v>31338</c:v>
                </c:pt>
                <c:pt idx="4">
                  <c:v>29843</c:v>
                </c:pt>
                <c:pt idx="5">
                  <c:v>13242</c:v>
                </c:pt>
                <c:pt idx="6">
                  <c:v>176405</c:v>
                </c:pt>
                <c:pt idx="7">
                  <c:v>68475</c:v>
                </c:pt>
                <c:pt idx="8">
                  <c:v>5045</c:v>
                </c:pt>
                <c:pt idx="9">
                  <c:v>11145</c:v>
                </c:pt>
                <c:pt idx="10">
                  <c:v>23908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5-4272-8681-BCBFEC6B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28434"/>
        <c:axId val="27528548"/>
      </c:barChart>
      <c:catAx>
        <c:axId val="95128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28548"/>
        <c:crosses val="autoZero"/>
        <c:auto val="1"/>
        <c:lblAlgn val="ctr"/>
        <c:lblOffset val="100"/>
        <c:noMultiLvlLbl val="0"/>
      </c:catAx>
      <c:valAx>
        <c:axId val="27528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28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Spend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Total Spend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Data'!$E$2:$E$13</c:f>
              <c:numCache>
                <c:formatCode>General</c:formatCode>
                <c:ptCount val="12"/>
                <c:pt idx="0">
                  <c:v>45912</c:v>
                </c:pt>
                <c:pt idx="1">
                  <c:v>41521</c:v>
                </c:pt>
                <c:pt idx="2">
                  <c:v>45972</c:v>
                </c:pt>
                <c:pt idx="3">
                  <c:v>33246</c:v>
                </c:pt>
                <c:pt idx="4">
                  <c:v>42144</c:v>
                </c:pt>
                <c:pt idx="5">
                  <c:v>22107</c:v>
                </c:pt>
                <c:pt idx="6">
                  <c:v>59378</c:v>
                </c:pt>
                <c:pt idx="7">
                  <c:v>35357</c:v>
                </c:pt>
                <c:pt idx="8">
                  <c:v>42369</c:v>
                </c:pt>
                <c:pt idx="9">
                  <c:v>59635</c:v>
                </c:pt>
                <c:pt idx="10">
                  <c:v>4961</c:v>
                </c:pt>
                <c:pt idx="11">
                  <c:v>12951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6B-4C54-BB4C-8561DD52C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333307"/>
        <c:axId val="54356786"/>
      </c:lineChart>
      <c:catAx>
        <c:axId val="65333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56786"/>
        <c:crosses val="autoZero"/>
        <c:auto val="1"/>
        <c:lblAlgn val="ctr"/>
        <c:lblOffset val="100"/>
        <c:noMultiLvlLbl val="0"/>
      </c:catAx>
      <c:valAx>
        <c:axId val="54356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33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Data'!$H$1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130-4D00-B13A-8EBB6850809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130-4D00-B13A-8EBB6850809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130-4D00-B13A-8EBB6850809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130-4D00-B13A-8EBB6850809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130-4D00-B13A-8EBB6850809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130-4D00-B13A-8EBB6850809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130-4D00-B13A-8EBB6850809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130-4D00-B13A-8EBB68508099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130-4D00-B13A-8EBB68508099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130-4D00-B13A-8EBB685080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Data'!$G$2:$G$6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  <c:pt idx="4">
                  <c:v>Unknown</c:v>
                </c:pt>
              </c:strCache>
            </c:strRef>
          </c:cat>
          <c:val>
            <c:numRef>
              <c:f>'Chart Data'!$H$2:$H$6</c:f>
              <c:numCache>
                <c:formatCode>General</c:formatCode>
                <c:ptCount val="5"/>
                <c:pt idx="0">
                  <c:v>109886</c:v>
                </c:pt>
                <c:pt idx="1">
                  <c:v>115428</c:v>
                </c:pt>
                <c:pt idx="2">
                  <c:v>51606</c:v>
                </c:pt>
                <c:pt idx="3">
                  <c:v>159352</c:v>
                </c:pt>
                <c:pt idx="4">
                  <c:v>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30-4D00-B13A-8EBB6850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 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Data'!$K$1</c:f>
              <c:strCache>
                <c:ptCount val="1"/>
                <c:pt idx="0">
                  <c:v>Txn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Data'!$J$2:$J$12</c:f>
              <c:strCache>
                <c:ptCount val="11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Groceries</c:v>
                </c:pt>
                <c:pt idx="4">
                  <c:v>Healthcare</c:v>
                </c:pt>
                <c:pt idx="5">
                  <c:v>Other</c:v>
                </c:pt>
                <c:pt idx="6">
                  <c:v>Rent</c:v>
                </c:pt>
                <c:pt idx="7">
                  <c:v>Shopping</c:v>
                </c:pt>
                <c:pt idx="8">
                  <c:v>Transport</c:v>
                </c:pt>
                <c:pt idx="9">
                  <c:v>Unknown</c:v>
                </c:pt>
                <c:pt idx="10">
                  <c:v>Utilities</c:v>
                </c:pt>
              </c:strCache>
            </c:strRef>
          </c:cat>
          <c:val>
            <c:numRef>
              <c:f>'Chart Data'!$K$2:$K$12</c:f>
              <c:numCache>
                <c:formatCode>General</c:formatCode>
                <c:ptCount val="11"/>
                <c:pt idx="0">
                  <c:v>25</c:v>
                </c:pt>
                <c:pt idx="1">
                  <c:v>28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32</c:v>
                </c:pt>
                <c:pt idx="8">
                  <c:v>14</c:v>
                </c:pt>
                <c:pt idx="9">
                  <c:v>6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5-41CB-A983-2FE17F8DA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77975"/>
        <c:axId val="73369365"/>
      </c:barChart>
      <c:catAx>
        <c:axId val="90777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69365"/>
        <c:crosses val="autoZero"/>
        <c:auto val="1"/>
        <c:lblAlgn val="ctr"/>
        <c:lblOffset val="100"/>
        <c:noMultiLvlLbl val="0"/>
      </c:catAx>
      <c:valAx>
        <c:axId val="73369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77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Highest Expenses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Data'!$N$1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Data'!$M$2:$M$6</c:f>
              <c:strCache>
                <c:ptCount val="5"/>
                <c:pt idx="0">
                  <c:v>Not specified</c:v>
                </c:pt>
                <c:pt idx="1">
                  <c:v>House rent</c:v>
                </c:pt>
                <c:pt idx="2">
                  <c:v>House rent</c:v>
                </c:pt>
                <c:pt idx="3">
                  <c:v>Monthly rent</c:v>
                </c:pt>
                <c:pt idx="4">
                  <c:v>House rent</c:v>
                </c:pt>
              </c:strCache>
            </c:strRef>
          </c:cat>
          <c:val>
            <c:numRef>
              <c:f>'Chart Data'!$N$2:$N$6</c:f>
              <c:numCache>
                <c:formatCode>General</c:formatCode>
                <c:ptCount val="5"/>
                <c:pt idx="0">
                  <c:v>14764</c:v>
                </c:pt>
                <c:pt idx="1">
                  <c:v>13925</c:v>
                </c:pt>
                <c:pt idx="2">
                  <c:v>13771</c:v>
                </c:pt>
                <c:pt idx="3">
                  <c:v>13587</c:v>
                </c:pt>
                <c:pt idx="4">
                  <c:v>12594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8-4403-A6D2-594A54157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21023"/>
        <c:axId val="45962743"/>
      </c:barChart>
      <c:catAx>
        <c:axId val="7532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62743"/>
        <c:crosses val="autoZero"/>
        <c:auto val="1"/>
        <c:lblAlgn val="ctr"/>
        <c:lblOffset val="100"/>
        <c:noMultiLvlLbl val="0"/>
      </c:catAx>
      <c:valAx>
        <c:axId val="45962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21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242455</xdr:colOff>
      <xdr:row>0</xdr:row>
      <xdr:rowOff>173182</xdr:rowOff>
    </xdr:from>
    <xdr:ext cx="12261273" cy="639040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43952A9-6D35-7394-0776-C722B0DC7976}"/>
            </a:ext>
          </a:extLst>
        </xdr:cNvPr>
        <xdr:cNvSpPr txBox="1"/>
      </xdr:nvSpPr>
      <xdr:spPr>
        <a:xfrm>
          <a:off x="242455" y="173182"/>
          <a:ext cx="12261273" cy="639040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425531</xdr:colOff>
      <xdr:row>4</xdr:row>
      <xdr:rowOff>173217</xdr:rowOff>
    </xdr:from>
    <xdr:to>
      <xdr:col>17</xdr:col>
      <xdr:colOff>14845</xdr:colOff>
      <xdr:row>32</xdr:row>
      <xdr:rowOff>95250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75D20EC-4FA0-5114-C88C-AC7B4566D782}"/>
            </a:ext>
          </a:extLst>
        </xdr:cNvPr>
        <xdr:cNvGrpSpPr/>
      </xdr:nvGrpSpPr>
      <xdr:grpSpPr>
        <a:xfrm>
          <a:off x="425531" y="935217"/>
          <a:ext cx="11815950" cy="5446533"/>
          <a:chOff x="148440" y="744717"/>
          <a:chExt cx="11815950" cy="544653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aphicFramePr/>
        </xdr:nvGraphicFramePr>
        <xdr:xfrm>
          <a:off x="184387" y="1882589"/>
          <a:ext cx="3558376" cy="21179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3883348" y="1871383"/>
          <a:ext cx="3984200" cy="21403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aphicFramePr/>
        </xdr:nvGraphicFramePr>
        <xdr:xfrm>
          <a:off x="7990811" y="1860175"/>
          <a:ext cx="3971977" cy="21515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/>
        </xdr:nvGraphicFramePr>
        <xdr:xfrm>
          <a:off x="3870540" y="4191000"/>
          <a:ext cx="4015418" cy="2000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aphicFramePr/>
        </xdr:nvGraphicFramePr>
        <xdr:xfrm>
          <a:off x="204108" y="4188598"/>
          <a:ext cx="3541567" cy="20026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aphicFramePr/>
        </xdr:nvGraphicFramePr>
        <xdr:xfrm>
          <a:off x="7996415" y="4191000"/>
          <a:ext cx="3967975" cy="2000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13DEEEC-53B6-D94F-D435-0D492168FD60}"/>
              </a:ext>
            </a:extLst>
          </xdr:cNvPr>
          <xdr:cNvSpPr txBox="1"/>
        </xdr:nvSpPr>
        <xdr:spPr>
          <a:xfrm>
            <a:off x="148440" y="790996"/>
            <a:ext cx="2911930" cy="980406"/>
          </a:xfrm>
          <a:prstGeom prst="rect">
            <a:avLst/>
          </a:prstGeom>
          <a:solidFill>
            <a:srgbClr val="00B05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r>
              <a:rPr lang="en-US" sz="1600"/>
              <a:t>              </a:t>
            </a:r>
            <a:r>
              <a:rPr lang="en-US" sz="1600">
                <a:solidFill>
                  <a:schemeClr val="bg1"/>
                </a:solidFill>
              </a:rPr>
              <a:t> </a:t>
            </a:r>
            <a:r>
              <a:rPr lang="en-US" sz="1800">
                <a:solidFill>
                  <a:schemeClr val="bg1"/>
                </a:solidFill>
              </a:rPr>
              <a:t>TOTAL SPEND</a:t>
            </a:r>
          </a:p>
          <a:p>
            <a:endParaRPr lang="en-US" sz="1100"/>
          </a:p>
          <a:p>
            <a:r>
              <a:rPr lang="en-US" sz="2000"/>
              <a:t>            </a:t>
            </a:r>
            <a:r>
              <a:rPr lang="en-US" sz="2400">
                <a:solidFill>
                  <a:schemeClr val="bg1"/>
                </a:solidFill>
              </a:rPr>
              <a:t>₹ 445,553</a:t>
            </a:r>
          </a:p>
          <a:p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3E99BF4-A966-9F13-791D-1C37C8D9BCF3}"/>
              </a:ext>
            </a:extLst>
          </xdr:cNvPr>
          <xdr:cNvSpPr txBox="1"/>
        </xdr:nvSpPr>
        <xdr:spPr>
          <a:xfrm>
            <a:off x="3163042" y="778079"/>
            <a:ext cx="2816679" cy="993323"/>
          </a:xfrm>
          <a:prstGeom prst="rect">
            <a:avLst/>
          </a:prstGeom>
          <a:solidFill>
            <a:srgbClr val="00B05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600"/>
              <a:t>       </a:t>
            </a:r>
            <a:r>
              <a:rPr lang="en-US" sz="1800">
                <a:solidFill>
                  <a:schemeClr val="bg1"/>
                </a:solidFill>
              </a:rPr>
              <a:t>TOTAL TRANSACTION</a:t>
            </a:r>
          </a:p>
          <a:p>
            <a:endParaRPr lang="en-US" sz="1400"/>
          </a:p>
          <a:p>
            <a:r>
              <a:rPr lang="en-US" sz="2000"/>
              <a:t>                   </a:t>
            </a:r>
            <a:r>
              <a:rPr lang="en-US" sz="2400">
                <a:solidFill>
                  <a:schemeClr val="bg1"/>
                </a:solidFill>
              </a:rPr>
              <a:t>216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CD7D307-2279-2B1D-D3CF-6022159A91CB}"/>
              </a:ext>
            </a:extLst>
          </xdr:cNvPr>
          <xdr:cNvSpPr txBox="1"/>
        </xdr:nvSpPr>
        <xdr:spPr>
          <a:xfrm rot="10800000" flipH="1" flipV="1">
            <a:off x="6072498" y="781016"/>
            <a:ext cx="2544536" cy="969048"/>
          </a:xfrm>
          <a:prstGeom prst="rect">
            <a:avLst/>
          </a:prstGeom>
          <a:solidFill>
            <a:srgbClr val="00B05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en-US" sz="1600"/>
              <a:t>   </a:t>
            </a:r>
            <a:r>
              <a:rPr lang="en-US" sz="1800"/>
              <a:t>  </a:t>
            </a:r>
            <a:r>
              <a:rPr lang="en-US" sz="1800">
                <a:solidFill>
                  <a:schemeClr val="bg1"/>
                </a:solidFill>
              </a:rPr>
              <a:t>AVG TRANSACTION</a:t>
            </a:r>
          </a:p>
          <a:p>
            <a:pPr algn="ctr"/>
            <a:endParaRPr lang="en-US" sz="1800">
              <a:solidFill>
                <a:schemeClr val="bg1"/>
              </a:solidFill>
            </a:endParaRPr>
          </a:p>
          <a:p>
            <a:pPr algn="ctr"/>
            <a:r>
              <a:rPr lang="en-US" sz="2000"/>
              <a:t> </a:t>
            </a:r>
            <a:r>
              <a:rPr lang="en-US" sz="2000">
                <a:solidFill>
                  <a:schemeClr val="bg1"/>
                </a:solidFill>
              </a:rPr>
              <a:t>₹2063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BAF080A-595B-71B1-40C5-33760DD0DDC0}"/>
              </a:ext>
            </a:extLst>
          </xdr:cNvPr>
          <xdr:cNvSpPr txBox="1"/>
        </xdr:nvSpPr>
        <xdr:spPr>
          <a:xfrm rot="10800000" flipH="1" flipV="1">
            <a:off x="8706097" y="744717"/>
            <a:ext cx="3174176" cy="1031629"/>
          </a:xfrm>
          <a:prstGeom prst="rect">
            <a:avLst/>
          </a:prstGeom>
          <a:solidFill>
            <a:srgbClr val="00B05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800"/>
              <a:t>                </a:t>
            </a:r>
            <a:r>
              <a:rPr lang="en-US" sz="1800">
                <a:solidFill>
                  <a:schemeClr val="bg1"/>
                </a:solidFill>
              </a:rPr>
              <a:t>TOP CATEGORY</a:t>
            </a:r>
          </a:p>
          <a:p>
            <a:endParaRPr lang="en-US" sz="1800"/>
          </a:p>
          <a:p>
            <a:r>
              <a:rPr lang="en-US" sz="2400">
                <a:solidFill>
                  <a:schemeClr val="bg1"/>
                </a:solidFill>
              </a:rPr>
              <a:t>                 Rent</a:t>
            </a:r>
          </a:p>
        </xdr:txBody>
      </xdr:sp>
    </xdr:grpSp>
    <xdr:clientData/>
  </xdr:twoCellAnchor>
  <xdr:oneCellAnchor>
    <xdr:from>
      <xdr:col>1</xdr:col>
      <xdr:colOff>79169</xdr:colOff>
      <xdr:row>1</xdr:row>
      <xdr:rowOff>87824</xdr:rowOff>
    </xdr:from>
    <xdr:ext cx="11198678" cy="59330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5FE69B-A050-10AD-3CD6-7C1B1E352EC8}"/>
            </a:ext>
          </a:extLst>
        </xdr:cNvPr>
        <xdr:cNvSpPr txBox="1"/>
      </xdr:nvSpPr>
      <xdr:spPr>
        <a:xfrm>
          <a:off x="806533" y="278324"/>
          <a:ext cx="11198678" cy="59330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r>
            <a:rPr lang="en-US" sz="3200"/>
            <a:t>                        PERSONAL EXPENSE DASHBOARD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22" customWidth="1"/>
    <col min="4" max="4" width="12" customWidth="1"/>
    <col min="5" max="5" width="14" customWidth="1"/>
    <col min="6" max="6" width="8" customWidth="1"/>
    <col min="7" max="7" width="12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>
        <v>10983</v>
      </c>
      <c r="E2" s="5" t="s">
        <v>10</v>
      </c>
      <c r="F2" s="5">
        <v>2024</v>
      </c>
      <c r="G2" s="5" t="s">
        <v>11</v>
      </c>
    </row>
    <row r="3" spans="1:7" x14ac:dyDescent="0.25">
      <c r="A3" s="5" t="s">
        <v>12</v>
      </c>
      <c r="B3" s="5" t="s">
        <v>13</v>
      </c>
      <c r="C3" s="5" t="s">
        <v>14</v>
      </c>
      <c r="D3" s="5">
        <v>4300</v>
      </c>
      <c r="E3" s="5" t="s">
        <v>15</v>
      </c>
      <c r="F3" s="5">
        <v>2024</v>
      </c>
      <c r="G3" s="5" t="s">
        <v>11</v>
      </c>
    </row>
    <row r="4" spans="1:7" x14ac:dyDescent="0.25">
      <c r="A4" s="5" t="s">
        <v>12</v>
      </c>
      <c r="B4" s="5" t="s">
        <v>16</v>
      </c>
      <c r="C4" s="5" t="s">
        <v>17</v>
      </c>
      <c r="D4" s="5">
        <v>2645</v>
      </c>
      <c r="E4" s="5" t="s">
        <v>10</v>
      </c>
      <c r="F4" s="5">
        <v>2024</v>
      </c>
      <c r="G4" s="5" t="s">
        <v>11</v>
      </c>
    </row>
    <row r="5" spans="1:7" x14ac:dyDescent="0.25">
      <c r="A5" s="5" t="s">
        <v>18</v>
      </c>
      <c r="B5" s="5" t="s">
        <v>8</v>
      </c>
      <c r="C5" s="5" t="s">
        <v>9</v>
      </c>
      <c r="D5" s="5">
        <v>9173</v>
      </c>
      <c r="E5" s="5" t="s">
        <v>15</v>
      </c>
      <c r="F5" s="5">
        <v>2024</v>
      </c>
      <c r="G5" s="5" t="s">
        <v>11</v>
      </c>
    </row>
    <row r="6" spans="1:7" x14ac:dyDescent="0.25">
      <c r="A6" s="5" t="s">
        <v>19</v>
      </c>
      <c r="B6" s="5" t="s">
        <v>16</v>
      </c>
      <c r="C6" s="5" t="s">
        <v>20</v>
      </c>
      <c r="D6" s="5">
        <v>4545</v>
      </c>
      <c r="E6" s="5" t="s">
        <v>21</v>
      </c>
      <c r="F6" s="5">
        <v>2024</v>
      </c>
      <c r="G6" s="5" t="s">
        <v>11</v>
      </c>
    </row>
    <row r="7" spans="1:7" x14ac:dyDescent="0.25">
      <c r="A7" s="5" t="s">
        <v>22</v>
      </c>
      <c r="B7" s="5" t="s">
        <v>23</v>
      </c>
      <c r="C7" s="5" t="s">
        <v>24</v>
      </c>
      <c r="D7" s="5">
        <v>989</v>
      </c>
      <c r="E7" s="5" t="s">
        <v>21</v>
      </c>
      <c r="F7" s="5">
        <v>2024</v>
      </c>
      <c r="G7" s="5" t="s">
        <v>11</v>
      </c>
    </row>
    <row r="8" spans="1:7" x14ac:dyDescent="0.25">
      <c r="A8" s="5" t="s">
        <v>22</v>
      </c>
      <c r="B8" s="5" t="s">
        <v>25</v>
      </c>
      <c r="C8" s="5" t="s">
        <v>26</v>
      </c>
      <c r="D8" s="5">
        <v>1267</v>
      </c>
      <c r="E8" s="5" t="s">
        <v>15</v>
      </c>
      <c r="F8" s="5">
        <v>2024</v>
      </c>
      <c r="G8" s="5" t="s">
        <v>11</v>
      </c>
    </row>
    <row r="9" spans="1:7" x14ac:dyDescent="0.25">
      <c r="A9" s="5" t="s">
        <v>22</v>
      </c>
      <c r="B9" s="5" t="s">
        <v>23</v>
      </c>
      <c r="C9" s="5" t="s">
        <v>24</v>
      </c>
      <c r="D9" s="5">
        <v>1280</v>
      </c>
      <c r="E9" s="5" t="s">
        <v>27</v>
      </c>
      <c r="F9" s="5">
        <v>2024</v>
      </c>
      <c r="G9" s="5" t="s">
        <v>11</v>
      </c>
    </row>
    <row r="10" spans="1:7" x14ac:dyDescent="0.25">
      <c r="A10" s="5" t="s">
        <v>22</v>
      </c>
      <c r="B10" s="5" t="s">
        <v>28</v>
      </c>
      <c r="C10" s="5" t="s">
        <v>29</v>
      </c>
      <c r="D10" s="5">
        <v>172</v>
      </c>
      <c r="E10" s="5" t="s">
        <v>15</v>
      </c>
      <c r="F10" s="5">
        <v>2024</v>
      </c>
      <c r="G10" s="5" t="s">
        <v>11</v>
      </c>
    </row>
    <row r="11" spans="1:7" x14ac:dyDescent="0.25">
      <c r="A11" s="5" t="s">
        <v>30</v>
      </c>
      <c r="B11" s="5" t="s">
        <v>28</v>
      </c>
      <c r="C11" s="5" t="s">
        <v>31</v>
      </c>
      <c r="D11" s="5">
        <v>234</v>
      </c>
      <c r="E11" s="5" t="s">
        <v>27</v>
      </c>
      <c r="F11" s="5">
        <v>2024</v>
      </c>
      <c r="G11" s="5" t="s">
        <v>11</v>
      </c>
    </row>
    <row r="12" spans="1:7" x14ac:dyDescent="0.25">
      <c r="A12" s="5" t="s">
        <v>32</v>
      </c>
      <c r="B12" s="5" t="s">
        <v>33</v>
      </c>
      <c r="C12" s="5" t="s">
        <v>34</v>
      </c>
      <c r="D12" s="5">
        <v>796</v>
      </c>
      <c r="E12" s="5" t="s">
        <v>15</v>
      </c>
      <c r="F12" s="5">
        <v>2024</v>
      </c>
      <c r="G12" s="5" t="s">
        <v>11</v>
      </c>
    </row>
    <row r="13" spans="1:7" x14ac:dyDescent="0.25">
      <c r="A13" s="5" t="s">
        <v>32</v>
      </c>
      <c r="B13" s="5" t="s">
        <v>35</v>
      </c>
      <c r="C13" s="5" t="s">
        <v>36</v>
      </c>
      <c r="D13" s="5">
        <v>1666</v>
      </c>
      <c r="E13" s="5" t="s">
        <v>15</v>
      </c>
      <c r="F13" s="5">
        <v>2024</v>
      </c>
      <c r="G13" s="5" t="s">
        <v>11</v>
      </c>
    </row>
    <row r="14" spans="1:7" x14ac:dyDescent="0.25">
      <c r="A14" s="5" t="s">
        <v>37</v>
      </c>
      <c r="B14" s="5" t="s">
        <v>25</v>
      </c>
      <c r="C14" s="5" t="s">
        <v>38</v>
      </c>
      <c r="D14" s="5">
        <v>2893</v>
      </c>
      <c r="E14" s="5" t="s">
        <v>13</v>
      </c>
      <c r="F14" s="5">
        <v>2024</v>
      </c>
      <c r="G14" s="5" t="s">
        <v>11</v>
      </c>
    </row>
    <row r="15" spans="1:7" x14ac:dyDescent="0.25">
      <c r="A15" s="5" t="s">
        <v>37</v>
      </c>
      <c r="B15" s="5" t="s">
        <v>33</v>
      </c>
      <c r="C15" s="5" t="s">
        <v>39</v>
      </c>
      <c r="D15" s="5">
        <v>859</v>
      </c>
      <c r="E15" s="5" t="s">
        <v>10</v>
      </c>
      <c r="F15" s="5">
        <v>2024</v>
      </c>
      <c r="G15" s="5" t="s">
        <v>11</v>
      </c>
    </row>
    <row r="16" spans="1:7" x14ac:dyDescent="0.25">
      <c r="A16" s="5" t="s">
        <v>40</v>
      </c>
      <c r="B16" s="5" t="s">
        <v>41</v>
      </c>
      <c r="C16" s="5" t="s">
        <v>42</v>
      </c>
      <c r="D16" s="5">
        <v>206</v>
      </c>
      <c r="E16" s="5" t="s">
        <v>15</v>
      </c>
      <c r="F16" s="5">
        <v>2024</v>
      </c>
      <c r="G16" s="5" t="s">
        <v>11</v>
      </c>
    </row>
    <row r="17" spans="1:7" x14ac:dyDescent="0.25">
      <c r="A17" s="5" t="s">
        <v>43</v>
      </c>
      <c r="B17" s="5" t="s">
        <v>35</v>
      </c>
      <c r="C17" s="5" t="s">
        <v>44</v>
      </c>
      <c r="D17" s="5">
        <v>682</v>
      </c>
      <c r="E17" s="5" t="s">
        <v>21</v>
      </c>
      <c r="F17" s="5">
        <v>2024</v>
      </c>
      <c r="G17" s="5" t="s">
        <v>11</v>
      </c>
    </row>
    <row r="18" spans="1:7" x14ac:dyDescent="0.25">
      <c r="A18" s="5" t="s">
        <v>43</v>
      </c>
      <c r="B18" s="5" t="s">
        <v>41</v>
      </c>
      <c r="C18" s="5" t="s">
        <v>45</v>
      </c>
      <c r="D18" s="5">
        <v>438</v>
      </c>
      <c r="E18" s="5" t="s">
        <v>15</v>
      </c>
      <c r="F18" s="5">
        <v>2024</v>
      </c>
      <c r="G18" s="5" t="s">
        <v>11</v>
      </c>
    </row>
    <row r="19" spans="1:7" x14ac:dyDescent="0.25">
      <c r="A19" s="5" t="s">
        <v>46</v>
      </c>
      <c r="B19" s="5" t="s">
        <v>25</v>
      </c>
      <c r="C19" s="5" t="s">
        <v>38</v>
      </c>
      <c r="D19" s="5">
        <v>762</v>
      </c>
      <c r="E19" s="5" t="s">
        <v>27</v>
      </c>
      <c r="F19" s="5">
        <v>2024</v>
      </c>
      <c r="G19" s="5" t="s">
        <v>11</v>
      </c>
    </row>
    <row r="20" spans="1:7" x14ac:dyDescent="0.25">
      <c r="A20" s="5" t="s">
        <v>47</v>
      </c>
      <c r="B20" s="5" t="s">
        <v>25</v>
      </c>
      <c r="C20" s="5" t="s">
        <v>48</v>
      </c>
      <c r="D20" s="5">
        <v>2022</v>
      </c>
      <c r="E20" s="5" t="s">
        <v>10</v>
      </c>
      <c r="F20" s="5">
        <v>2024</v>
      </c>
      <c r="G20" s="5" t="s">
        <v>11</v>
      </c>
    </row>
    <row r="21" spans="1:7" x14ac:dyDescent="0.25">
      <c r="A21" s="5" t="s">
        <v>49</v>
      </c>
      <c r="B21" s="5" t="s">
        <v>28</v>
      </c>
      <c r="C21" s="5" t="s">
        <v>31</v>
      </c>
      <c r="D21" s="5">
        <v>371</v>
      </c>
      <c r="E21" s="5" t="s">
        <v>21</v>
      </c>
      <c r="F21" s="5">
        <v>2024</v>
      </c>
      <c r="G21" s="5" t="s">
        <v>50</v>
      </c>
    </row>
    <row r="22" spans="1:7" x14ac:dyDescent="0.25">
      <c r="A22" s="5" t="s">
        <v>51</v>
      </c>
      <c r="B22" s="5" t="s">
        <v>33</v>
      </c>
      <c r="C22" s="5" t="s">
        <v>39</v>
      </c>
      <c r="D22" s="5">
        <v>243</v>
      </c>
      <c r="E22" s="5" t="s">
        <v>15</v>
      </c>
      <c r="F22" s="5">
        <v>2024</v>
      </c>
      <c r="G22" s="5" t="s">
        <v>50</v>
      </c>
    </row>
    <row r="23" spans="1:7" x14ac:dyDescent="0.25">
      <c r="A23" s="5" t="s">
        <v>51</v>
      </c>
      <c r="B23" s="5" t="s">
        <v>52</v>
      </c>
      <c r="C23" s="5" t="s">
        <v>53</v>
      </c>
      <c r="D23" s="5">
        <v>505</v>
      </c>
      <c r="E23" s="5" t="s">
        <v>21</v>
      </c>
      <c r="F23" s="5">
        <v>2024</v>
      </c>
      <c r="G23" s="5" t="s">
        <v>50</v>
      </c>
    </row>
    <row r="24" spans="1:7" x14ac:dyDescent="0.25">
      <c r="A24" s="5" t="s">
        <v>54</v>
      </c>
      <c r="B24" s="5" t="s">
        <v>55</v>
      </c>
      <c r="C24" s="5" t="s">
        <v>56</v>
      </c>
      <c r="D24" s="5">
        <v>1844</v>
      </c>
      <c r="E24" s="5" t="s">
        <v>21</v>
      </c>
      <c r="F24" s="5">
        <v>2024</v>
      </c>
      <c r="G24" s="5" t="s">
        <v>50</v>
      </c>
    </row>
    <row r="25" spans="1:7" x14ac:dyDescent="0.25">
      <c r="A25" s="5" t="s">
        <v>57</v>
      </c>
      <c r="B25" s="5" t="s">
        <v>52</v>
      </c>
      <c r="C25" s="5" t="s">
        <v>58</v>
      </c>
      <c r="D25" s="5">
        <v>390</v>
      </c>
      <c r="E25" s="5" t="s">
        <v>27</v>
      </c>
      <c r="F25" s="5">
        <v>2024</v>
      </c>
      <c r="G25" s="5" t="s">
        <v>50</v>
      </c>
    </row>
    <row r="26" spans="1:7" x14ac:dyDescent="0.25">
      <c r="A26" s="5" t="s">
        <v>59</v>
      </c>
      <c r="B26" s="5" t="s">
        <v>25</v>
      </c>
      <c r="C26" s="5" t="s">
        <v>48</v>
      </c>
      <c r="D26" s="5">
        <v>3829</v>
      </c>
      <c r="E26" s="5" t="s">
        <v>10</v>
      </c>
      <c r="F26" s="5">
        <v>2024</v>
      </c>
      <c r="G26" s="5" t="s">
        <v>50</v>
      </c>
    </row>
    <row r="27" spans="1:7" x14ac:dyDescent="0.25">
      <c r="A27" s="5" t="s">
        <v>60</v>
      </c>
      <c r="B27" s="5" t="s">
        <v>8</v>
      </c>
      <c r="C27" s="5" t="s">
        <v>61</v>
      </c>
      <c r="D27" s="5">
        <v>11692</v>
      </c>
      <c r="E27" s="5" t="s">
        <v>21</v>
      </c>
      <c r="F27" s="5">
        <v>2024</v>
      </c>
      <c r="G27" s="5" t="s">
        <v>50</v>
      </c>
    </row>
    <row r="28" spans="1:7" x14ac:dyDescent="0.25">
      <c r="A28" s="5" t="s">
        <v>62</v>
      </c>
      <c r="B28" s="5" t="s">
        <v>25</v>
      </c>
      <c r="C28" s="5" t="s">
        <v>26</v>
      </c>
      <c r="D28" s="5">
        <v>2567</v>
      </c>
      <c r="E28" s="5" t="s">
        <v>10</v>
      </c>
      <c r="F28" s="5">
        <v>2024</v>
      </c>
      <c r="G28" s="5" t="s">
        <v>50</v>
      </c>
    </row>
    <row r="29" spans="1:7" x14ac:dyDescent="0.25">
      <c r="A29" s="5" t="s">
        <v>63</v>
      </c>
      <c r="B29" s="5" t="s">
        <v>52</v>
      </c>
      <c r="C29" s="5" t="s">
        <v>58</v>
      </c>
      <c r="D29" s="5">
        <v>807</v>
      </c>
      <c r="E29" s="5" t="s">
        <v>10</v>
      </c>
      <c r="F29" s="5">
        <v>2024</v>
      </c>
      <c r="G29" s="5" t="s">
        <v>50</v>
      </c>
    </row>
    <row r="30" spans="1:7" x14ac:dyDescent="0.25">
      <c r="A30" s="5" t="s">
        <v>63</v>
      </c>
      <c r="B30" s="5" t="s">
        <v>16</v>
      </c>
      <c r="C30" s="5" t="s">
        <v>17</v>
      </c>
      <c r="D30" s="5">
        <v>314</v>
      </c>
      <c r="E30" s="5" t="s">
        <v>10</v>
      </c>
      <c r="F30" s="5">
        <v>2024</v>
      </c>
      <c r="G30" s="5" t="s">
        <v>50</v>
      </c>
    </row>
    <row r="31" spans="1:7" x14ac:dyDescent="0.25">
      <c r="A31" s="5" t="s">
        <v>63</v>
      </c>
      <c r="B31" s="5" t="s">
        <v>55</v>
      </c>
      <c r="C31" s="5" t="s">
        <v>64</v>
      </c>
      <c r="D31" s="5">
        <v>1680</v>
      </c>
      <c r="E31" s="5" t="s">
        <v>21</v>
      </c>
      <c r="F31" s="5">
        <v>2024</v>
      </c>
      <c r="G31" s="5" t="s">
        <v>50</v>
      </c>
    </row>
    <row r="32" spans="1:7" x14ac:dyDescent="0.25">
      <c r="A32" s="5" t="s">
        <v>65</v>
      </c>
      <c r="B32" s="5" t="s">
        <v>52</v>
      </c>
      <c r="C32" s="5" t="s">
        <v>66</v>
      </c>
      <c r="D32" s="5">
        <v>249</v>
      </c>
      <c r="E32" s="5" t="s">
        <v>21</v>
      </c>
      <c r="F32" s="5">
        <v>2024</v>
      </c>
      <c r="G32" s="5" t="s">
        <v>50</v>
      </c>
    </row>
    <row r="33" spans="1:7" x14ac:dyDescent="0.25">
      <c r="A33" s="5" t="s">
        <v>67</v>
      </c>
      <c r="B33" s="5" t="s">
        <v>8</v>
      </c>
      <c r="C33" s="5" t="s">
        <v>61</v>
      </c>
      <c r="D33" s="5">
        <v>12403</v>
      </c>
      <c r="E33" s="5" t="s">
        <v>21</v>
      </c>
      <c r="F33" s="5">
        <v>2024</v>
      </c>
      <c r="G33" s="5" t="s">
        <v>50</v>
      </c>
    </row>
    <row r="34" spans="1:7" x14ac:dyDescent="0.25">
      <c r="A34" s="5" t="s">
        <v>67</v>
      </c>
      <c r="B34" s="5" t="s">
        <v>35</v>
      </c>
      <c r="C34" s="5" t="s">
        <v>68</v>
      </c>
      <c r="D34" s="5">
        <v>832</v>
      </c>
      <c r="E34" s="5" t="s">
        <v>10</v>
      </c>
      <c r="F34" s="5">
        <v>2024</v>
      </c>
      <c r="G34" s="5" t="s">
        <v>50</v>
      </c>
    </row>
    <row r="35" spans="1:7" x14ac:dyDescent="0.25">
      <c r="A35" s="5" t="s">
        <v>69</v>
      </c>
      <c r="B35" s="5" t="s">
        <v>16</v>
      </c>
      <c r="C35" s="5" t="s">
        <v>70</v>
      </c>
      <c r="D35" s="5">
        <v>1928</v>
      </c>
      <c r="E35" s="5" t="s">
        <v>15</v>
      </c>
      <c r="F35" s="5">
        <v>2024</v>
      </c>
      <c r="G35" s="5" t="s">
        <v>50</v>
      </c>
    </row>
    <row r="36" spans="1:7" x14ac:dyDescent="0.25">
      <c r="A36" s="5" t="s">
        <v>71</v>
      </c>
      <c r="B36" s="5" t="s">
        <v>55</v>
      </c>
      <c r="C36" s="5" t="s">
        <v>56</v>
      </c>
      <c r="D36" s="5">
        <v>331</v>
      </c>
      <c r="E36" s="5" t="s">
        <v>15</v>
      </c>
      <c r="F36" s="5">
        <v>2024</v>
      </c>
      <c r="G36" s="5" t="s">
        <v>50</v>
      </c>
    </row>
    <row r="37" spans="1:7" x14ac:dyDescent="0.25">
      <c r="A37" s="5" t="s">
        <v>72</v>
      </c>
      <c r="B37" s="5" t="s">
        <v>41</v>
      </c>
      <c r="C37" s="5" t="s">
        <v>42</v>
      </c>
      <c r="D37" s="5">
        <v>328</v>
      </c>
      <c r="E37" s="5" t="s">
        <v>10</v>
      </c>
      <c r="F37" s="5">
        <v>2024</v>
      </c>
      <c r="G37" s="5" t="s">
        <v>50</v>
      </c>
    </row>
    <row r="38" spans="1:7" x14ac:dyDescent="0.25">
      <c r="A38" s="5" t="s">
        <v>73</v>
      </c>
      <c r="B38" s="5" t="s">
        <v>52</v>
      </c>
      <c r="C38" s="5" t="s">
        <v>74</v>
      </c>
      <c r="D38" s="5">
        <v>189</v>
      </c>
      <c r="E38" s="5" t="s">
        <v>21</v>
      </c>
      <c r="F38" s="5">
        <v>2024</v>
      </c>
      <c r="G38" s="5" t="s">
        <v>50</v>
      </c>
    </row>
    <row r="39" spans="1:7" x14ac:dyDescent="0.25">
      <c r="A39" s="5" t="s">
        <v>75</v>
      </c>
      <c r="B39" s="5" t="s">
        <v>52</v>
      </c>
      <c r="C39" s="5" t="s">
        <v>58</v>
      </c>
      <c r="D39" s="5">
        <v>393</v>
      </c>
      <c r="E39" s="5" t="s">
        <v>10</v>
      </c>
      <c r="F39" s="5">
        <v>2024</v>
      </c>
      <c r="G39" s="5" t="s">
        <v>50</v>
      </c>
    </row>
    <row r="40" spans="1:7" x14ac:dyDescent="0.25">
      <c r="A40" s="5" t="s">
        <v>76</v>
      </c>
      <c r="B40" s="5" t="s">
        <v>52</v>
      </c>
      <c r="C40" s="5" t="s">
        <v>58</v>
      </c>
      <c r="D40" s="5">
        <v>626</v>
      </c>
      <c r="E40" s="5" t="s">
        <v>27</v>
      </c>
      <c r="F40" s="5">
        <v>2024</v>
      </c>
      <c r="G40" s="5" t="s">
        <v>50</v>
      </c>
    </row>
    <row r="41" spans="1:7" x14ac:dyDescent="0.25">
      <c r="A41" s="5" t="s">
        <v>77</v>
      </c>
      <c r="B41" s="5" t="s">
        <v>16</v>
      </c>
      <c r="C41" s="5" t="s">
        <v>20</v>
      </c>
      <c r="D41" s="5">
        <v>3682</v>
      </c>
      <c r="E41" s="5" t="s">
        <v>15</v>
      </c>
      <c r="F41" s="5">
        <v>2024</v>
      </c>
      <c r="G41" s="5" t="s">
        <v>78</v>
      </c>
    </row>
    <row r="42" spans="1:7" x14ac:dyDescent="0.25">
      <c r="A42" s="5" t="s">
        <v>77</v>
      </c>
      <c r="B42" s="5" t="s">
        <v>52</v>
      </c>
      <c r="C42" s="5" t="s">
        <v>58</v>
      </c>
      <c r="D42" s="5">
        <v>660</v>
      </c>
      <c r="E42" s="5" t="s">
        <v>27</v>
      </c>
      <c r="F42" s="5">
        <v>2024</v>
      </c>
      <c r="G42" s="5" t="s">
        <v>78</v>
      </c>
    </row>
    <row r="43" spans="1:7" x14ac:dyDescent="0.25">
      <c r="A43" s="5" t="s">
        <v>79</v>
      </c>
      <c r="B43" s="5" t="s">
        <v>35</v>
      </c>
      <c r="C43" s="5" t="s">
        <v>68</v>
      </c>
      <c r="D43" s="5">
        <v>462</v>
      </c>
      <c r="E43" s="5" t="s">
        <v>10</v>
      </c>
      <c r="F43" s="5">
        <v>2024</v>
      </c>
      <c r="G43" s="5" t="s">
        <v>78</v>
      </c>
    </row>
    <row r="44" spans="1:7" x14ac:dyDescent="0.25">
      <c r="A44" s="5" t="s">
        <v>79</v>
      </c>
      <c r="B44" s="5" t="s">
        <v>55</v>
      </c>
      <c r="C44" s="5" t="s">
        <v>56</v>
      </c>
      <c r="D44" s="5">
        <v>760</v>
      </c>
      <c r="E44" s="5" t="s">
        <v>27</v>
      </c>
      <c r="F44" s="5">
        <v>2024</v>
      </c>
      <c r="G44" s="5" t="s">
        <v>78</v>
      </c>
    </row>
    <row r="45" spans="1:7" x14ac:dyDescent="0.25">
      <c r="A45" s="5" t="s">
        <v>80</v>
      </c>
      <c r="B45" s="5" t="s">
        <v>8</v>
      </c>
      <c r="C45" s="5" t="s">
        <v>61</v>
      </c>
      <c r="D45" s="5">
        <v>8701</v>
      </c>
      <c r="E45" s="5" t="s">
        <v>21</v>
      </c>
      <c r="F45" s="5">
        <v>2024</v>
      </c>
      <c r="G45" s="5" t="s">
        <v>78</v>
      </c>
    </row>
    <row r="46" spans="1:7" x14ac:dyDescent="0.25">
      <c r="A46" s="5" t="s">
        <v>80</v>
      </c>
      <c r="B46" s="5" t="s">
        <v>33</v>
      </c>
      <c r="C46" s="5" t="s">
        <v>81</v>
      </c>
      <c r="D46" s="5">
        <v>1328</v>
      </c>
      <c r="E46" s="5" t="s">
        <v>10</v>
      </c>
      <c r="F46" s="5">
        <v>2024</v>
      </c>
      <c r="G46" s="5" t="s">
        <v>78</v>
      </c>
    </row>
    <row r="47" spans="1:7" x14ac:dyDescent="0.25">
      <c r="A47" s="5" t="s">
        <v>82</v>
      </c>
      <c r="B47" s="5" t="s">
        <v>28</v>
      </c>
      <c r="C47" s="5" t="s">
        <v>83</v>
      </c>
      <c r="D47" s="5">
        <v>278</v>
      </c>
      <c r="E47" s="5" t="s">
        <v>15</v>
      </c>
      <c r="F47" s="5">
        <v>2024</v>
      </c>
      <c r="G47" s="5" t="s">
        <v>78</v>
      </c>
    </row>
    <row r="48" spans="1:7" x14ac:dyDescent="0.25">
      <c r="A48" s="5" t="s">
        <v>84</v>
      </c>
      <c r="B48" s="5" t="s">
        <v>35</v>
      </c>
      <c r="C48" s="5" t="s">
        <v>44</v>
      </c>
      <c r="D48" s="5">
        <v>1733</v>
      </c>
      <c r="E48" s="5" t="s">
        <v>15</v>
      </c>
      <c r="F48" s="5">
        <v>2024</v>
      </c>
      <c r="G48" s="5" t="s">
        <v>78</v>
      </c>
    </row>
    <row r="49" spans="1:7" x14ac:dyDescent="0.25">
      <c r="A49" s="5" t="s">
        <v>85</v>
      </c>
      <c r="B49" s="5" t="s">
        <v>52</v>
      </c>
      <c r="C49" s="5" t="s">
        <v>53</v>
      </c>
      <c r="D49" s="5">
        <v>211</v>
      </c>
      <c r="E49" s="5" t="s">
        <v>21</v>
      </c>
      <c r="F49" s="5">
        <v>2024</v>
      </c>
      <c r="G49" s="5" t="s">
        <v>78</v>
      </c>
    </row>
    <row r="50" spans="1:7" x14ac:dyDescent="0.25">
      <c r="A50" s="5" t="s">
        <v>86</v>
      </c>
      <c r="B50" s="5" t="s">
        <v>33</v>
      </c>
      <c r="C50" s="5" t="s">
        <v>87</v>
      </c>
      <c r="D50" s="5">
        <v>929</v>
      </c>
      <c r="E50" s="5" t="s">
        <v>10</v>
      </c>
      <c r="F50" s="5">
        <v>2024</v>
      </c>
      <c r="G50" s="5" t="s">
        <v>78</v>
      </c>
    </row>
    <row r="51" spans="1:7" x14ac:dyDescent="0.25">
      <c r="A51" s="5" t="s">
        <v>86</v>
      </c>
      <c r="B51" s="5" t="s">
        <v>16</v>
      </c>
      <c r="C51" s="5" t="s">
        <v>14</v>
      </c>
      <c r="D51" s="5">
        <v>1343</v>
      </c>
      <c r="E51" s="5" t="s">
        <v>15</v>
      </c>
      <c r="F51" s="5">
        <v>2024</v>
      </c>
      <c r="G51" s="5" t="s">
        <v>78</v>
      </c>
    </row>
    <row r="52" spans="1:7" x14ac:dyDescent="0.25">
      <c r="A52" s="5" t="s">
        <v>88</v>
      </c>
      <c r="B52" s="5" t="s">
        <v>16</v>
      </c>
      <c r="C52" s="5" t="s">
        <v>17</v>
      </c>
      <c r="D52" s="5">
        <v>867</v>
      </c>
      <c r="E52" s="5" t="s">
        <v>15</v>
      </c>
      <c r="F52" s="5">
        <v>2024</v>
      </c>
      <c r="G52" s="5" t="s">
        <v>78</v>
      </c>
    </row>
    <row r="53" spans="1:7" x14ac:dyDescent="0.25">
      <c r="A53" s="5" t="s">
        <v>89</v>
      </c>
      <c r="B53" s="5" t="s">
        <v>55</v>
      </c>
      <c r="C53" s="5" t="s">
        <v>90</v>
      </c>
      <c r="D53" s="5">
        <v>1084</v>
      </c>
      <c r="E53" s="5" t="s">
        <v>15</v>
      </c>
      <c r="F53" s="5">
        <v>2024</v>
      </c>
      <c r="G53" s="5" t="s">
        <v>78</v>
      </c>
    </row>
    <row r="54" spans="1:7" x14ac:dyDescent="0.25">
      <c r="A54" s="5" t="s">
        <v>91</v>
      </c>
      <c r="B54" s="5" t="s">
        <v>16</v>
      </c>
      <c r="C54" s="5" t="s">
        <v>14</v>
      </c>
      <c r="D54" s="5">
        <v>1642</v>
      </c>
      <c r="E54" s="5" t="s">
        <v>10</v>
      </c>
      <c r="F54" s="5">
        <v>2024</v>
      </c>
      <c r="G54" s="5" t="s">
        <v>78</v>
      </c>
    </row>
    <row r="55" spans="1:7" x14ac:dyDescent="0.25">
      <c r="A55" s="5" t="s">
        <v>91</v>
      </c>
      <c r="B55" s="5" t="s">
        <v>55</v>
      </c>
      <c r="C55" s="5" t="s">
        <v>92</v>
      </c>
      <c r="D55" s="5">
        <v>437</v>
      </c>
      <c r="E55" s="5" t="s">
        <v>21</v>
      </c>
      <c r="F55" s="5">
        <v>2024</v>
      </c>
      <c r="G55" s="5" t="s">
        <v>78</v>
      </c>
    </row>
    <row r="56" spans="1:7" x14ac:dyDescent="0.25">
      <c r="A56" s="5" t="s">
        <v>93</v>
      </c>
      <c r="B56" s="5" t="s">
        <v>35</v>
      </c>
      <c r="C56" s="5" t="s">
        <v>68</v>
      </c>
      <c r="D56" s="5">
        <v>965</v>
      </c>
      <c r="E56" s="5" t="s">
        <v>21</v>
      </c>
      <c r="F56" s="5">
        <v>2024</v>
      </c>
      <c r="G56" s="5" t="s">
        <v>78</v>
      </c>
    </row>
    <row r="57" spans="1:7" x14ac:dyDescent="0.25">
      <c r="A57" s="5" t="s">
        <v>93</v>
      </c>
      <c r="B57" s="5" t="s">
        <v>52</v>
      </c>
      <c r="C57" s="5" t="s">
        <v>74</v>
      </c>
      <c r="D57" s="5">
        <v>452</v>
      </c>
      <c r="E57" s="5" t="s">
        <v>21</v>
      </c>
      <c r="F57" s="5">
        <v>2024</v>
      </c>
      <c r="G57" s="5" t="s">
        <v>78</v>
      </c>
    </row>
    <row r="58" spans="1:7" x14ac:dyDescent="0.25">
      <c r="A58" s="5" t="s">
        <v>93</v>
      </c>
      <c r="B58" s="5" t="s">
        <v>33</v>
      </c>
      <c r="C58" s="5" t="s">
        <v>81</v>
      </c>
      <c r="D58" s="5">
        <v>1315</v>
      </c>
      <c r="E58" s="5" t="s">
        <v>15</v>
      </c>
      <c r="F58" s="5">
        <v>2024</v>
      </c>
      <c r="G58" s="5" t="s">
        <v>78</v>
      </c>
    </row>
    <row r="59" spans="1:7" x14ac:dyDescent="0.25">
      <c r="A59" s="5" t="s">
        <v>94</v>
      </c>
      <c r="B59" s="5" t="s">
        <v>16</v>
      </c>
      <c r="C59" s="5" t="s">
        <v>17</v>
      </c>
      <c r="D59" s="5">
        <v>2752</v>
      </c>
      <c r="E59" s="5" t="s">
        <v>27</v>
      </c>
      <c r="F59" s="5">
        <v>2024</v>
      </c>
      <c r="G59" s="5" t="s">
        <v>78</v>
      </c>
    </row>
    <row r="60" spans="1:7" x14ac:dyDescent="0.25">
      <c r="A60" s="5" t="s">
        <v>95</v>
      </c>
      <c r="B60" s="5" t="s">
        <v>23</v>
      </c>
      <c r="C60" s="5" t="s">
        <v>96</v>
      </c>
      <c r="D60" s="5">
        <v>1493</v>
      </c>
      <c r="E60" s="5" t="s">
        <v>15</v>
      </c>
      <c r="F60" s="5">
        <v>2024</v>
      </c>
      <c r="G60" s="5" t="s">
        <v>78</v>
      </c>
    </row>
    <row r="61" spans="1:7" x14ac:dyDescent="0.25">
      <c r="A61" s="5" t="s">
        <v>97</v>
      </c>
      <c r="B61" s="5" t="s">
        <v>16</v>
      </c>
      <c r="C61" s="5" t="s">
        <v>14</v>
      </c>
      <c r="D61" s="5">
        <v>1333</v>
      </c>
      <c r="E61" s="5" t="s">
        <v>27</v>
      </c>
      <c r="F61" s="5">
        <v>2024</v>
      </c>
      <c r="G61" s="5" t="s">
        <v>78</v>
      </c>
    </row>
    <row r="62" spans="1:7" x14ac:dyDescent="0.25">
      <c r="A62" s="5" t="s">
        <v>98</v>
      </c>
      <c r="B62" s="5" t="s">
        <v>35</v>
      </c>
      <c r="C62" s="5" t="s">
        <v>99</v>
      </c>
      <c r="D62" s="5">
        <v>1854</v>
      </c>
      <c r="E62" s="5" t="s">
        <v>15</v>
      </c>
      <c r="F62" s="5">
        <v>2024</v>
      </c>
      <c r="G62" s="5" t="s">
        <v>78</v>
      </c>
    </row>
    <row r="63" spans="1:7" x14ac:dyDescent="0.25">
      <c r="A63" s="5" t="s">
        <v>98</v>
      </c>
      <c r="B63" s="5" t="s">
        <v>55</v>
      </c>
      <c r="C63" s="5" t="s">
        <v>64</v>
      </c>
      <c r="D63" s="5">
        <v>521</v>
      </c>
      <c r="E63" s="5" t="s">
        <v>10</v>
      </c>
      <c r="F63" s="5">
        <v>2024</v>
      </c>
      <c r="G63" s="5" t="s">
        <v>78</v>
      </c>
    </row>
    <row r="64" spans="1:7" x14ac:dyDescent="0.25">
      <c r="A64" s="5" t="s">
        <v>100</v>
      </c>
      <c r="B64" s="5" t="s">
        <v>25</v>
      </c>
      <c r="C64" s="5" t="s">
        <v>38</v>
      </c>
      <c r="D64" s="5">
        <v>4447</v>
      </c>
      <c r="E64" s="5" t="s">
        <v>13</v>
      </c>
      <c r="F64" s="5">
        <v>2024</v>
      </c>
      <c r="G64" s="5" t="s">
        <v>78</v>
      </c>
    </row>
    <row r="65" spans="1:7" x14ac:dyDescent="0.25">
      <c r="A65" s="5" t="s">
        <v>101</v>
      </c>
      <c r="B65" s="5" t="s">
        <v>55</v>
      </c>
      <c r="C65" s="5" t="s">
        <v>92</v>
      </c>
      <c r="D65" s="5">
        <v>1345</v>
      </c>
      <c r="E65" s="5" t="s">
        <v>10</v>
      </c>
      <c r="F65" s="5">
        <v>2024</v>
      </c>
      <c r="G65" s="5" t="s">
        <v>78</v>
      </c>
    </row>
    <row r="66" spans="1:7" x14ac:dyDescent="0.25">
      <c r="A66" s="5" t="s">
        <v>102</v>
      </c>
      <c r="B66" s="5" t="s">
        <v>13</v>
      </c>
      <c r="C66" s="5" t="s">
        <v>17</v>
      </c>
      <c r="D66" s="5">
        <v>3164</v>
      </c>
      <c r="E66" s="5" t="s">
        <v>21</v>
      </c>
      <c r="F66" s="5">
        <v>2024</v>
      </c>
      <c r="G66" s="5" t="s">
        <v>78</v>
      </c>
    </row>
    <row r="67" spans="1:7" x14ac:dyDescent="0.25">
      <c r="A67" s="5" t="s">
        <v>102</v>
      </c>
      <c r="B67" s="5" t="s">
        <v>25</v>
      </c>
      <c r="C67" s="5" t="s">
        <v>48</v>
      </c>
      <c r="D67" s="5">
        <v>1146</v>
      </c>
      <c r="E67" s="5" t="s">
        <v>21</v>
      </c>
      <c r="F67" s="5">
        <v>2024</v>
      </c>
      <c r="G67" s="5" t="s">
        <v>78</v>
      </c>
    </row>
    <row r="68" spans="1:7" x14ac:dyDescent="0.25">
      <c r="A68" s="5" t="s">
        <v>103</v>
      </c>
      <c r="B68" s="5" t="s">
        <v>13</v>
      </c>
      <c r="C68" s="5" t="s">
        <v>45</v>
      </c>
      <c r="D68" s="5">
        <v>127</v>
      </c>
      <c r="E68" s="5" t="s">
        <v>21</v>
      </c>
      <c r="F68" s="5">
        <v>2024</v>
      </c>
      <c r="G68" s="5" t="s">
        <v>78</v>
      </c>
    </row>
    <row r="69" spans="1:7" x14ac:dyDescent="0.25">
      <c r="A69" s="5" t="s">
        <v>103</v>
      </c>
      <c r="B69" s="5" t="s">
        <v>35</v>
      </c>
      <c r="C69" s="5" t="s">
        <v>99</v>
      </c>
      <c r="D69" s="5">
        <v>941</v>
      </c>
      <c r="E69" s="5" t="s">
        <v>21</v>
      </c>
      <c r="F69" s="5">
        <v>2024</v>
      </c>
      <c r="G69" s="5" t="s">
        <v>78</v>
      </c>
    </row>
    <row r="70" spans="1:7" x14ac:dyDescent="0.25">
      <c r="A70" s="5" t="s">
        <v>104</v>
      </c>
      <c r="B70" s="5" t="s">
        <v>41</v>
      </c>
      <c r="C70" s="5" t="s">
        <v>42</v>
      </c>
      <c r="D70" s="5">
        <v>471</v>
      </c>
      <c r="E70" s="5" t="s">
        <v>15</v>
      </c>
      <c r="F70" s="5">
        <v>2024</v>
      </c>
      <c r="G70" s="5" t="s">
        <v>105</v>
      </c>
    </row>
    <row r="71" spans="1:7" x14ac:dyDescent="0.25">
      <c r="A71" s="5" t="s">
        <v>106</v>
      </c>
      <c r="B71" s="5" t="s">
        <v>28</v>
      </c>
      <c r="C71" s="5" t="s">
        <v>107</v>
      </c>
      <c r="D71" s="5">
        <v>449</v>
      </c>
      <c r="E71" s="5" t="s">
        <v>21</v>
      </c>
      <c r="F71" s="5">
        <v>2024</v>
      </c>
      <c r="G71" s="5" t="s">
        <v>105</v>
      </c>
    </row>
    <row r="72" spans="1:7" x14ac:dyDescent="0.25">
      <c r="A72" s="5" t="s">
        <v>108</v>
      </c>
      <c r="B72" s="5" t="s">
        <v>28</v>
      </c>
      <c r="C72" s="5" t="s">
        <v>109</v>
      </c>
      <c r="D72" s="5">
        <v>719</v>
      </c>
      <c r="E72" s="5" t="s">
        <v>10</v>
      </c>
      <c r="F72" s="5">
        <v>2024</v>
      </c>
      <c r="G72" s="5" t="s">
        <v>105</v>
      </c>
    </row>
    <row r="73" spans="1:7" x14ac:dyDescent="0.25">
      <c r="A73" s="5" t="s">
        <v>110</v>
      </c>
      <c r="B73" s="5" t="s">
        <v>35</v>
      </c>
      <c r="C73" s="5" t="s">
        <v>68</v>
      </c>
      <c r="D73" s="5">
        <v>2151</v>
      </c>
      <c r="E73" s="5" t="s">
        <v>15</v>
      </c>
      <c r="F73" s="5">
        <v>2024</v>
      </c>
      <c r="G73" s="5" t="s">
        <v>105</v>
      </c>
    </row>
    <row r="74" spans="1:7" x14ac:dyDescent="0.25">
      <c r="A74" s="5" t="s">
        <v>110</v>
      </c>
      <c r="B74" s="5" t="s">
        <v>25</v>
      </c>
      <c r="C74" s="5" t="s">
        <v>26</v>
      </c>
      <c r="D74" s="5">
        <v>1071</v>
      </c>
      <c r="E74" s="5" t="s">
        <v>21</v>
      </c>
      <c r="F74" s="5">
        <v>2024</v>
      </c>
      <c r="G74" s="5" t="s">
        <v>105</v>
      </c>
    </row>
    <row r="75" spans="1:7" x14ac:dyDescent="0.25">
      <c r="A75" s="5" t="s">
        <v>111</v>
      </c>
      <c r="B75" s="5" t="s">
        <v>16</v>
      </c>
      <c r="C75" s="5" t="s">
        <v>70</v>
      </c>
      <c r="D75" s="5">
        <v>3585</v>
      </c>
      <c r="E75" s="5" t="s">
        <v>15</v>
      </c>
      <c r="F75" s="5">
        <v>2024</v>
      </c>
      <c r="G75" s="5" t="s">
        <v>105</v>
      </c>
    </row>
    <row r="76" spans="1:7" x14ac:dyDescent="0.25">
      <c r="A76" s="5" t="s">
        <v>112</v>
      </c>
      <c r="B76" s="5" t="s">
        <v>52</v>
      </c>
      <c r="C76" s="5" t="s">
        <v>74</v>
      </c>
      <c r="D76" s="5">
        <v>175</v>
      </c>
      <c r="E76" s="5" t="s">
        <v>15</v>
      </c>
      <c r="F76" s="5">
        <v>2024</v>
      </c>
      <c r="G76" s="5" t="s">
        <v>105</v>
      </c>
    </row>
    <row r="77" spans="1:7" x14ac:dyDescent="0.25">
      <c r="A77" s="5" t="s">
        <v>113</v>
      </c>
      <c r="B77" s="5" t="s">
        <v>55</v>
      </c>
      <c r="C77" s="5" t="s">
        <v>90</v>
      </c>
      <c r="D77" s="5">
        <v>1910</v>
      </c>
      <c r="E77" s="5" t="s">
        <v>27</v>
      </c>
      <c r="F77" s="5">
        <v>2024</v>
      </c>
      <c r="G77" s="5" t="s">
        <v>105</v>
      </c>
    </row>
    <row r="78" spans="1:7" x14ac:dyDescent="0.25">
      <c r="A78" s="5" t="s">
        <v>114</v>
      </c>
      <c r="B78" s="5" t="s">
        <v>28</v>
      </c>
      <c r="C78" s="5" t="s">
        <v>107</v>
      </c>
      <c r="D78" s="5">
        <v>693</v>
      </c>
      <c r="E78" s="5" t="s">
        <v>15</v>
      </c>
      <c r="F78" s="5">
        <v>2024</v>
      </c>
      <c r="G78" s="5" t="s">
        <v>105</v>
      </c>
    </row>
    <row r="79" spans="1:7" x14ac:dyDescent="0.25">
      <c r="A79" s="5" t="s">
        <v>115</v>
      </c>
      <c r="B79" s="5" t="s">
        <v>16</v>
      </c>
      <c r="C79" s="5" t="s">
        <v>70</v>
      </c>
      <c r="D79" s="5">
        <v>1941</v>
      </c>
      <c r="E79" s="5" t="s">
        <v>13</v>
      </c>
      <c r="F79" s="5">
        <v>2024</v>
      </c>
      <c r="G79" s="5" t="s">
        <v>105</v>
      </c>
    </row>
    <row r="80" spans="1:7" x14ac:dyDescent="0.25">
      <c r="A80" s="5" t="s">
        <v>115</v>
      </c>
      <c r="B80" s="5" t="s">
        <v>28</v>
      </c>
      <c r="C80" s="5" t="s">
        <v>107</v>
      </c>
      <c r="D80" s="5">
        <v>361</v>
      </c>
      <c r="E80" s="5" t="s">
        <v>27</v>
      </c>
      <c r="F80" s="5">
        <v>2024</v>
      </c>
      <c r="G80" s="5" t="s">
        <v>105</v>
      </c>
    </row>
    <row r="81" spans="1:7" x14ac:dyDescent="0.25">
      <c r="A81" s="5" t="s">
        <v>116</v>
      </c>
      <c r="B81" s="5" t="s">
        <v>8</v>
      </c>
      <c r="C81" s="5" t="s">
        <v>9</v>
      </c>
      <c r="D81" s="5">
        <v>13925</v>
      </c>
      <c r="E81" s="5" t="s">
        <v>10</v>
      </c>
      <c r="F81" s="5">
        <v>2024</v>
      </c>
      <c r="G81" s="5" t="s">
        <v>105</v>
      </c>
    </row>
    <row r="82" spans="1:7" x14ac:dyDescent="0.25">
      <c r="A82" s="5" t="s">
        <v>117</v>
      </c>
      <c r="B82" s="5" t="s">
        <v>52</v>
      </c>
      <c r="C82" s="5" t="s">
        <v>58</v>
      </c>
      <c r="D82" s="5">
        <v>508</v>
      </c>
      <c r="E82" s="5" t="s">
        <v>10</v>
      </c>
      <c r="F82" s="5">
        <v>2024</v>
      </c>
      <c r="G82" s="5" t="s">
        <v>105</v>
      </c>
    </row>
    <row r="83" spans="1:7" x14ac:dyDescent="0.25">
      <c r="A83" s="5" t="s">
        <v>118</v>
      </c>
      <c r="B83" s="5" t="s">
        <v>35</v>
      </c>
      <c r="C83" s="5" t="s">
        <v>36</v>
      </c>
      <c r="D83" s="5">
        <v>1034</v>
      </c>
      <c r="E83" s="5" t="s">
        <v>10</v>
      </c>
      <c r="F83" s="5">
        <v>2024</v>
      </c>
      <c r="G83" s="5" t="s">
        <v>105</v>
      </c>
    </row>
    <row r="84" spans="1:7" x14ac:dyDescent="0.25">
      <c r="A84" s="5" t="s">
        <v>119</v>
      </c>
      <c r="B84" s="5" t="s">
        <v>28</v>
      </c>
      <c r="C84" s="5" t="s">
        <v>109</v>
      </c>
      <c r="D84" s="5">
        <v>107</v>
      </c>
      <c r="E84" s="5" t="s">
        <v>15</v>
      </c>
      <c r="F84" s="5">
        <v>2024</v>
      </c>
      <c r="G84" s="5" t="s">
        <v>105</v>
      </c>
    </row>
    <row r="85" spans="1:7" x14ac:dyDescent="0.25">
      <c r="A85" s="5" t="s">
        <v>120</v>
      </c>
      <c r="B85" s="5" t="s">
        <v>25</v>
      </c>
      <c r="C85" s="5" t="s">
        <v>48</v>
      </c>
      <c r="D85" s="5">
        <v>1708</v>
      </c>
      <c r="E85" s="5" t="s">
        <v>10</v>
      </c>
      <c r="F85" s="5">
        <v>2024</v>
      </c>
      <c r="G85" s="5" t="s">
        <v>105</v>
      </c>
    </row>
    <row r="86" spans="1:7" x14ac:dyDescent="0.25">
      <c r="A86" s="5" t="s">
        <v>120</v>
      </c>
      <c r="B86" s="5" t="s">
        <v>52</v>
      </c>
      <c r="C86" s="5" t="s">
        <v>66</v>
      </c>
      <c r="D86" s="5">
        <v>539</v>
      </c>
      <c r="E86" s="5" t="s">
        <v>21</v>
      </c>
      <c r="F86" s="5">
        <v>2024</v>
      </c>
      <c r="G86" s="5" t="s">
        <v>105</v>
      </c>
    </row>
    <row r="87" spans="1:7" x14ac:dyDescent="0.25">
      <c r="A87" s="5" t="s">
        <v>121</v>
      </c>
      <c r="B87" s="5" t="s">
        <v>23</v>
      </c>
      <c r="C87" s="5" t="s">
        <v>96</v>
      </c>
      <c r="D87" s="5">
        <v>1031</v>
      </c>
      <c r="E87" s="5" t="s">
        <v>10</v>
      </c>
      <c r="F87" s="5">
        <v>2024</v>
      </c>
      <c r="G87" s="5" t="s">
        <v>105</v>
      </c>
    </row>
    <row r="88" spans="1:7" x14ac:dyDescent="0.25">
      <c r="A88" s="5" t="s">
        <v>121</v>
      </c>
      <c r="B88" s="5" t="s">
        <v>16</v>
      </c>
      <c r="C88" s="5" t="s">
        <v>17</v>
      </c>
      <c r="D88" s="5">
        <v>868</v>
      </c>
      <c r="E88" s="5" t="s">
        <v>15</v>
      </c>
      <c r="F88" s="5">
        <v>2024</v>
      </c>
      <c r="G88" s="5" t="s">
        <v>105</v>
      </c>
    </row>
    <row r="89" spans="1:7" x14ac:dyDescent="0.25">
      <c r="A89" s="5" t="s">
        <v>122</v>
      </c>
      <c r="B89" s="5" t="s">
        <v>8</v>
      </c>
      <c r="C89" s="5" t="s">
        <v>9</v>
      </c>
      <c r="D89" s="5">
        <v>10356</v>
      </c>
      <c r="E89" s="5" t="s">
        <v>10</v>
      </c>
      <c r="F89" s="5">
        <v>2024</v>
      </c>
      <c r="G89" s="5" t="s">
        <v>123</v>
      </c>
    </row>
    <row r="90" spans="1:7" x14ac:dyDescent="0.25">
      <c r="A90" s="5" t="s">
        <v>124</v>
      </c>
      <c r="B90" s="5" t="s">
        <v>41</v>
      </c>
      <c r="C90" s="5" t="s">
        <v>42</v>
      </c>
      <c r="D90" s="5">
        <v>588</v>
      </c>
      <c r="E90" s="5" t="s">
        <v>15</v>
      </c>
      <c r="F90" s="5">
        <v>2024</v>
      </c>
      <c r="G90" s="5" t="s">
        <v>123</v>
      </c>
    </row>
    <row r="91" spans="1:7" x14ac:dyDescent="0.25">
      <c r="A91" s="5" t="s">
        <v>125</v>
      </c>
      <c r="B91" s="5" t="s">
        <v>28</v>
      </c>
      <c r="C91" s="5" t="s">
        <v>107</v>
      </c>
      <c r="D91" s="5">
        <v>678</v>
      </c>
      <c r="E91" s="5" t="s">
        <v>10</v>
      </c>
      <c r="F91" s="5">
        <v>2024</v>
      </c>
      <c r="G91" s="5" t="s">
        <v>123</v>
      </c>
    </row>
    <row r="92" spans="1:7" x14ac:dyDescent="0.25">
      <c r="A92" s="5" t="s">
        <v>126</v>
      </c>
      <c r="B92" s="5" t="s">
        <v>35</v>
      </c>
      <c r="C92" s="5" t="s">
        <v>36</v>
      </c>
      <c r="D92" s="5">
        <v>871</v>
      </c>
      <c r="E92" s="5" t="s">
        <v>10</v>
      </c>
      <c r="F92" s="5">
        <v>2024</v>
      </c>
      <c r="G92" s="5" t="s">
        <v>123</v>
      </c>
    </row>
    <row r="93" spans="1:7" x14ac:dyDescent="0.25">
      <c r="A93" s="5" t="s">
        <v>127</v>
      </c>
      <c r="B93" s="5" t="s">
        <v>23</v>
      </c>
      <c r="C93" s="5" t="s">
        <v>24</v>
      </c>
      <c r="D93" s="5">
        <v>2235</v>
      </c>
      <c r="E93" s="5" t="s">
        <v>15</v>
      </c>
      <c r="F93" s="5">
        <v>2024</v>
      </c>
      <c r="G93" s="5" t="s">
        <v>123</v>
      </c>
    </row>
    <row r="94" spans="1:7" x14ac:dyDescent="0.25">
      <c r="A94" s="5" t="s">
        <v>127</v>
      </c>
      <c r="B94" s="5" t="s">
        <v>35</v>
      </c>
      <c r="C94" s="5" t="s">
        <v>44</v>
      </c>
      <c r="D94" s="5">
        <v>383</v>
      </c>
      <c r="E94" s="5" t="s">
        <v>15</v>
      </c>
      <c r="F94" s="5">
        <v>2024</v>
      </c>
      <c r="G94" s="5" t="s">
        <v>123</v>
      </c>
    </row>
    <row r="95" spans="1:7" x14ac:dyDescent="0.25">
      <c r="A95" s="5" t="s">
        <v>128</v>
      </c>
      <c r="B95" s="5" t="s">
        <v>35</v>
      </c>
      <c r="C95" s="5" t="s">
        <v>68</v>
      </c>
      <c r="D95" s="5">
        <v>2110</v>
      </c>
      <c r="E95" s="5" t="s">
        <v>27</v>
      </c>
      <c r="F95" s="5">
        <v>2024</v>
      </c>
      <c r="G95" s="5" t="s">
        <v>123</v>
      </c>
    </row>
    <row r="96" spans="1:7" x14ac:dyDescent="0.25">
      <c r="A96" s="5" t="s">
        <v>128</v>
      </c>
      <c r="B96" s="5" t="s">
        <v>55</v>
      </c>
      <c r="C96" s="5" t="s">
        <v>90</v>
      </c>
      <c r="D96" s="5">
        <v>1586</v>
      </c>
      <c r="E96" s="5" t="s">
        <v>15</v>
      </c>
      <c r="F96" s="5">
        <v>2024</v>
      </c>
      <c r="G96" s="5" t="s">
        <v>123</v>
      </c>
    </row>
    <row r="97" spans="1:7" x14ac:dyDescent="0.25">
      <c r="A97" s="5" t="s">
        <v>129</v>
      </c>
      <c r="B97" s="5" t="s">
        <v>41</v>
      </c>
      <c r="C97" s="5" t="s">
        <v>130</v>
      </c>
      <c r="D97" s="5">
        <v>79</v>
      </c>
      <c r="E97" s="5" t="s">
        <v>10</v>
      </c>
      <c r="F97" s="5">
        <v>2024</v>
      </c>
      <c r="G97" s="5" t="s">
        <v>123</v>
      </c>
    </row>
    <row r="98" spans="1:7" x14ac:dyDescent="0.25">
      <c r="A98" s="5" t="s">
        <v>129</v>
      </c>
      <c r="B98" s="5" t="s">
        <v>52</v>
      </c>
      <c r="C98" s="5" t="s">
        <v>58</v>
      </c>
      <c r="D98" s="5">
        <v>368</v>
      </c>
      <c r="E98" s="5" t="s">
        <v>21</v>
      </c>
      <c r="F98" s="5">
        <v>2024</v>
      </c>
      <c r="G98" s="5" t="s">
        <v>123</v>
      </c>
    </row>
    <row r="99" spans="1:7" x14ac:dyDescent="0.25">
      <c r="A99" s="5" t="s">
        <v>131</v>
      </c>
      <c r="B99" s="5" t="s">
        <v>16</v>
      </c>
      <c r="C99" s="5" t="s">
        <v>17</v>
      </c>
      <c r="D99" s="5">
        <v>2773</v>
      </c>
      <c r="E99" s="5" t="s">
        <v>27</v>
      </c>
      <c r="F99" s="5">
        <v>2024</v>
      </c>
      <c r="G99" s="5" t="s">
        <v>123</v>
      </c>
    </row>
    <row r="100" spans="1:7" x14ac:dyDescent="0.25">
      <c r="A100" s="5" t="s">
        <v>132</v>
      </c>
      <c r="B100" s="5" t="s">
        <v>35</v>
      </c>
      <c r="C100" s="5" t="s">
        <v>36</v>
      </c>
      <c r="D100" s="5">
        <v>1821</v>
      </c>
      <c r="E100" s="5" t="s">
        <v>15</v>
      </c>
      <c r="F100" s="5">
        <v>2024</v>
      </c>
      <c r="G100" s="5" t="s">
        <v>123</v>
      </c>
    </row>
    <row r="101" spans="1:7" x14ac:dyDescent="0.25">
      <c r="A101" s="5" t="s">
        <v>133</v>
      </c>
      <c r="B101" s="5" t="s">
        <v>23</v>
      </c>
      <c r="C101" s="5" t="s">
        <v>134</v>
      </c>
      <c r="D101" s="5">
        <v>1841</v>
      </c>
      <c r="E101" s="5" t="s">
        <v>10</v>
      </c>
      <c r="F101" s="5">
        <v>2024</v>
      </c>
      <c r="G101" s="5" t="s">
        <v>123</v>
      </c>
    </row>
    <row r="102" spans="1:7" x14ac:dyDescent="0.25">
      <c r="A102" s="5" t="s">
        <v>133</v>
      </c>
      <c r="B102" s="5" t="s">
        <v>52</v>
      </c>
      <c r="C102" s="5" t="s">
        <v>74</v>
      </c>
      <c r="D102" s="5">
        <v>407</v>
      </c>
      <c r="E102" s="5" t="s">
        <v>10</v>
      </c>
      <c r="F102" s="5">
        <v>2024</v>
      </c>
      <c r="G102" s="5" t="s">
        <v>123</v>
      </c>
    </row>
    <row r="103" spans="1:7" x14ac:dyDescent="0.25">
      <c r="A103" s="5" t="s">
        <v>135</v>
      </c>
      <c r="B103" s="5" t="s">
        <v>25</v>
      </c>
      <c r="C103" s="5" t="s">
        <v>136</v>
      </c>
      <c r="D103" s="5">
        <v>1977</v>
      </c>
      <c r="E103" s="5" t="s">
        <v>15</v>
      </c>
      <c r="F103" s="5">
        <v>2024</v>
      </c>
      <c r="G103" s="5" t="s">
        <v>123</v>
      </c>
    </row>
    <row r="104" spans="1:7" x14ac:dyDescent="0.25">
      <c r="A104" s="5" t="s">
        <v>137</v>
      </c>
      <c r="B104" s="5" t="s">
        <v>8</v>
      </c>
      <c r="C104" s="5" t="s">
        <v>61</v>
      </c>
      <c r="D104" s="5">
        <v>12205</v>
      </c>
      <c r="E104" s="5" t="s">
        <v>21</v>
      </c>
      <c r="F104" s="5">
        <v>2024</v>
      </c>
      <c r="G104" s="5" t="s">
        <v>123</v>
      </c>
    </row>
    <row r="105" spans="1:7" x14ac:dyDescent="0.25">
      <c r="A105" s="5" t="s">
        <v>138</v>
      </c>
      <c r="B105" s="5" t="s">
        <v>41</v>
      </c>
      <c r="C105" s="5" t="s">
        <v>139</v>
      </c>
      <c r="D105" s="5">
        <v>468</v>
      </c>
      <c r="E105" s="5" t="s">
        <v>27</v>
      </c>
      <c r="F105" s="5">
        <v>2024</v>
      </c>
      <c r="G105" s="5" t="s">
        <v>123</v>
      </c>
    </row>
    <row r="106" spans="1:7" x14ac:dyDescent="0.25">
      <c r="A106" s="5" t="s">
        <v>140</v>
      </c>
      <c r="B106" s="5" t="s">
        <v>33</v>
      </c>
      <c r="C106" s="5" t="s">
        <v>39</v>
      </c>
      <c r="D106" s="5">
        <v>1398</v>
      </c>
      <c r="E106" s="5" t="s">
        <v>27</v>
      </c>
      <c r="F106" s="5">
        <v>2024</v>
      </c>
      <c r="G106" s="5" t="s">
        <v>123</v>
      </c>
    </row>
    <row r="107" spans="1:7" x14ac:dyDescent="0.25">
      <c r="A107" s="5" t="s">
        <v>141</v>
      </c>
      <c r="B107" s="5" t="s">
        <v>55</v>
      </c>
      <c r="C107" s="5" t="s">
        <v>64</v>
      </c>
      <c r="D107" s="5">
        <v>1665</v>
      </c>
      <c r="E107" s="5" t="s">
        <v>27</v>
      </c>
      <c r="F107" s="5">
        <v>2024</v>
      </c>
      <c r="G107" s="5" t="s">
        <v>142</v>
      </c>
    </row>
    <row r="108" spans="1:7" x14ac:dyDescent="0.25">
      <c r="A108" s="5" t="s">
        <v>143</v>
      </c>
      <c r="B108" s="5" t="s">
        <v>16</v>
      </c>
      <c r="C108" s="5" t="s">
        <v>17</v>
      </c>
      <c r="D108" s="5">
        <v>3668</v>
      </c>
      <c r="E108" s="5" t="s">
        <v>27</v>
      </c>
      <c r="F108" s="5">
        <v>2024</v>
      </c>
      <c r="G108" s="5" t="s">
        <v>142</v>
      </c>
    </row>
    <row r="109" spans="1:7" x14ac:dyDescent="0.25">
      <c r="A109" s="5" t="s">
        <v>144</v>
      </c>
      <c r="B109" s="5" t="s">
        <v>16</v>
      </c>
      <c r="C109" s="5" t="s">
        <v>20</v>
      </c>
      <c r="D109" s="5">
        <v>4076</v>
      </c>
      <c r="E109" s="5" t="s">
        <v>10</v>
      </c>
      <c r="F109" s="5">
        <v>2024</v>
      </c>
      <c r="G109" s="5" t="s">
        <v>142</v>
      </c>
    </row>
    <row r="110" spans="1:7" x14ac:dyDescent="0.25">
      <c r="A110" s="5" t="s">
        <v>145</v>
      </c>
      <c r="B110" s="5" t="s">
        <v>28</v>
      </c>
      <c r="C110" s="5" t="s">
        <v>109</v>
      </c>
      <c r="D110" s="5">
        <v>206</v>
      </c>
      <c r="E110" s="5" t="s">
        <v>10</v>
      </c>
      <c r="F110" s="5">
        <v>2024</v>
      </c>
      <c r="G110" s="5" t="s">
        <v>142</v>
      </c>
    </row>
    <row r="111" spans="1:7" x14ac:dyDescent="0.25">
      <c r="A111" s="5" t="s">
        <v>146</v>
      </c>
      <c r="B111" s="5" t="s">
        <v>25</v>
      </c>
      <c r="C111" s="5" t="s">
        <v>26</v>
      </c>
      <c r="D111" s="5">
        <v>2456</v>
      </c>
      <c r="E111" s="5" t="s">
        <v>21</v>
      </c>
      <c r="F111" s="5">
        <v>2024</v>
      </c>
      <c r="G111" s="5" t="s">
        <v>142</v>
      </c>
    </row>
    <row r="112" spans="1:7" x14ac:dyDescent="0.25">
      <c r="A112" s="5" t="s">
        <v>147</v>
      </c>
      <c r="B112" s="5" t="s">
        <v>41</v>
      </c>
      <c r="C112" s="5" t="s">
        <v>148</v>
      </c>
      <c r="D112" s="5">
        <v>69</v>
      </c>
      <c r="E112" s="5" t="s">
        <v>27</v>
      </c>
      <c r="F112" s="5">
        <v>2024</v>
      </c>
      <c r="G112" s="5" t="s">
        <v>142</v>
      </c>
    </row>
    <row r="113" spans="1:7" x14ac:dyDescent="0.25">
      <c r="A113" s="5" t="s">
        <v>149</v>
      </c>
      <c r="B113" s="5" t="s">
        <v>16</v>
      </c>
      <c r="C113" s="5" t="s">
        <v>70</v>
      </c>
      <c r="D113" s="5">
        <v>2794</v>
      </c>
      <c r="E113" s="5" t="s">
        <v>15</v>
      </c>
      <c r="F113" s="5">
        <v>2024</v>
      </c>
      <c r="G113" s="5" t="s">
        <v>142</v>
      </c>
    </row>
    <row r="114" spans="1:7" x14ac:dyDescent="0.25">
      <c r="A114" s="5" t="s">
        <v>150</v>
      </c>
      <c r="B114" s="5" t="s">
        <v>28</v>
      </c>
      <c r="C114" s="5" t="s">
        <v>29</v>
      </c>
      <c r="D114" s="5">
        <v>240</v>
      </c>
      <c r="E114" s="5" t="s">
        <v>27</v>
      </c>
      <c r="F114" s="5">
        <v>2024</v>
      </c>
      <c r="G114" s="5" t="s">
        <v>142</v>
      </c>
    </row>
    <row r="115" spans="1:7" x14ac:dyDescent="0.25">
      <c r="A115" s="5" t="s">
        <v>151</v>
      </c>
      <c r="B115" s="5" t="s">
        <v>35</v>
      </c>
      <c r="C115" s="5" t="s">
        <v>68</v>
      </c>
      <c r="D115" s="5">
        <v>1318</v>
      </c>
      <c r="E115" s="5" t="s">
        <v>15</v>
      </c>
      <c r="F115" s="5">
        <v>2024</v>
      </c>
      <c r="G115" s="5" t="s">
        <v>142</v>
      </c>
    </row>
    <row r="116" spans="1:7" x14ac:dyDescent="0.25">
      <c r="A116" s="5" t="s">
        <v>152</v>
      </c>
      <c r="B116" s="5" t="s">
        <v>13</v>
      </c>
      <c r="C116" s="5" t="s">
        <v>53</v>
      </c>
      <c r="D116" s="5">
        <v>760</v>
      </c>
      <c r="E116" s="5" t="s">
        <v>27</v>
      </c>
      <c r="F116" s="5">
        <v>2024</v>
      </c>
      <c r="G116" s="5" t="s">
        <v>142</v>
      </c>
    </row>
    <row r="117" spans="1:7" x14ac:dyDescent="0.25">
      <c r="A117" s="5" t="s">
        <v>153</v>
      </c>
      <c r="B117" s="5" t="s">
        <v>41</v>
      </c>
      <c r="C117" s="5" t="s">
        <v>130</v>
      </c>
      <c r="D117" s="5">
        <v>484</v>
      </c>
      <c r="E117" s="5" t="s">
        <v>27</v>
      </c>
      <c r="F117" s="5">
        <v>2024</v>
      </c>
      <c r="G117" s="5" t="s">
        <v>142</v>
      </c>
    </row>
    <row r="118" spans="1:7" x14ac:dyDescent="0.25">
      <c r="A118" s="5" t="s">
        <v>154</v>
      </c>
      <c r="B118" s="5" t="s">
        <v>25</v>
      </c>
      <c r="C118" s="5" t="s">
        <v>48</v>
      </c>
      <c r="D118" s="5">
        <v>1709</v>
      </c>
      <c r="E118" s="5" t="s">
        <v>10</v>
      </c>
      <c r="F118" s="5">
        <v>2024</v>
      </c>
      <c r="G118" s="5" t="s">
        <v>142</v>
      </c>
    </row>
    <row r="119" spans="1:7" x14ac:dyDescent="0.25">
      <c r="A119" s="5" t="s">
        <v>155</v>
      </c>
      <c r="B119" s="5" t="s">
        <v>52</v>
      </c>
      <c r="C119" s="5" t="s">
        <v>58</v>
      </c>
      <c r="D119" s="5">
        <v>990</v>
      </c>
      <c r="E119" s="5" t="s">
        <v>21</v>
      </c>
      <c r="F119" s="5">
        <v>2024</v>
      </c>
      <c r="G119" s="5" t="s">
        <v>142</v>
      </c>
    </row>
    <row r="120" spans="1:7" x14ac:dyDescent="0.25">
      <c r="A120" s="5" t="s">
        <v>156</v>
      </c>
      <c r="B120" s="5" t="s">
        <v>55</v>
      </c>
      <c r="C120" s="5" t="s">
        <v>92</v>
      </c>
      <c r="D120" s="5">
        <v>1672</v>
      </c>
      <c r="E120" s="5" t="s">
        <v>15</v>
      </c>
      <c r="F120" s="5">
        <v>2024</v>
      </c>
      <c r="G120" s="5" t="s">
        <v>142</v>
      </c>
    </row>
    <row r="121" spans="1:7" x14ac:dyDescent="0.25">
      <c r="A121" s="5" t="s">
        <v>157</v>
      </c>
      <c r="B121" s="5" t="s">
        <v>55</v>
      </c>
      <c r="C121" s="5" t="s">
        <v>92</v>
      </c>
      <c r="D121" s="5">
        <v>1984</v>
      </c>
      <c r="E121" s="5" t="s">
        <v>10</v>
      </c>
      <c r="F121" s="5">
        <v>2024</v>
      </c>
      <c r="G121" s="5" t="s">
        <v>158</v>
      </c>
    </row>
    <row r="122" spans="1:7" x14ac:dyDescent="0.25">
      <c r="A122" s="5" t="s">
        <v>159</v>
      </c>
      <c r="B122" s="5" t="s">
        <v>28</v>
      </c>
      <c r="C122" s="5" t="s">
        <v>29</v>
      </c>
      <c r="D122" s="5">
        <v>702</v>
      </c>
      <c r="E122" s="5" t="s">
        <v>10</v>
      </c>
      <c r="F122" s="5">
        <v>2024</v>
      </c>
      <c r="G122" s="5" t="s">
        <v>158</v>
      </c>
    </row>
    <row r="123" spans="1:7" x14ac:dyDescent="0.25">
      <c r="A123" s="5" t="s">
        <v>159</v>
      </c>
      <c r="B123" s="5" t="s">
        <v>55</v>
      </c>
      <c r="C123" s="5" t="s">
        <v>92</v>
      </c>
      <c r="D123" s="5">
        <v>1182</v>
      </c>
      <c r="E123" s="5" t="s">
        <v>15</v>
      </c>
      <c r="F123" s="5">
        <v>2024</v>
      </c>
      <c r="G123" s="5" t="s">
        <v>158</v>
      </c>
    </row>
    <row r="124" spans="1:7" x14ac:dyDescent="0.25">
      <c r="A124" s="5" t="s">
        <v>159</v>
      </c>
      <c r="B124" s="5" t="s">
        <v>8</v>
      </c>
      <c r="C124" s="5" t="s">
        <v>61</v>
      </c>
      <c r="D124" s="5">
        <v>13587</v>
      </c>
      <c r="E124" s="5" t="s">
        <v>15</v>
      </c>
      <c r="F124" s="5">
        <v>2024</v>
      </c>
      <c r="G124" s="5" t="s">
        <v>158</v>
      </c>
    </row>
    <row r="125" spans="1:7" x14ac:dyDescent="0.25">
      <c r="A125" s="5" t="s">
        <v>160</v>
      </c>
      <c r="B125" s="5" t="s">
        <v>33</v>
      </c>
      <c r="C125" s="5" t="s">
        <v>81</v>
      </c>
      <c r="D125" s="5">
        <v>1192</v>
      </c>
      <c r="E125" s="5" t="s">
        <v>21</v>
      </c>
      <c r="F125" s="5">
        <v>2024</v>
      </c>
      <c r="G125" s="5" t="s">
        <v>158</v>
      </c>
    </row>
    <row r="126" spans="1:7" x14ac:dyDescent="0.25">
      <c r="A126" s="5" t="s">
        <v>161</v>
      </c>
      <c r="B126" s="5" t="s">
        <v>52</v>
      </c>
      <c r="C126" s="5" t="s">
        <v>66</v>
      </c>
      <c r="D126" s="5">
        <v>212</v>
      </c>
      <c r="E126" s="5" t="s">
        <v>27</v>
      </c>
      <c r="F126" s="5">
        <v>2024</v>
      </c>
      <c r="G126" s="5" t="s">
        <v>158</v>
      </c>
    </row>
    <row r="127" spans="1:7" x14ac:dyDescent="0.25">
      <c r="A127" s="5" t="s">
        <v>162</v>
      </c>
      <c r="B127" s="5" t="s">
        <v>13</v>
      </c>
      <c r="C127" s="5" t="s">
        <v>44</v>
      </c>
      <c r="D127" s="5">
        <v>2060</v>
      </c>
      <c r="E127" s="5" t="s">
        <v>10</v>
      </c>
      <c r="F127" s="5">
        <v>2024</v>
      </c>
      <c r="G127" s="5" t="s">
        <v>158</v>
      </c>
    </row>
    <row r="128" spans="1:7" x14ac:dyDescent="0.25">
      <c r="A128" s="5" t="s">
        <v>162</v>
      </c>
      <c r="B128" s="5" t="s">
        <v>55</v>
      </c>
      <c r="C128" s="5" t="s">
        <v>90</v>
      </c>
      <c r="D128" s="5">
        <v>623</v>
      </c>
      <c r="E128" s="5" t="s">
        <v>21</v>
      </c>
      <c r="F128" s="5">
        <v>2024</v>
      </c>
      <c r="G128" s="5" t="s">
        <v>158</v>
      </c>
    </row>
    <row r="129" spans="1:7" x14ac:dyDescent="0.25">
      <c r="A129" s="5" t="s">
        <v>163</v>
      </c>
      <c r="B129" s="5" t="s">
        <v>23</v>
      </c>
      <c r="C129" s="5" t="s">
        <v>24</v>
      </c>
      <c r="D129" s="5">
        <v>1826</v>
      </c>
      <c r="E129" s="5" t="s">
        <v>21</v>
      </c>
      <c r="F129" s="5">
        <v>2024</v>
      </c>
      <c r="G129" s="5" t="s">
        <v>158</v>
      </c>
    </row>
    <row r="130" spans="1:7" x14ac:dyDescent="0.25">
      <c r="A130" s="5" t="s">
        <v>164</v>
      </c>
      <c r="B130" s="5" t="s">
        <v>25</v>
      </c>
      <c r="C130" s="5" t="s">
        <v>38</v>
      </c>
      <c r="D130" s="5">
        <v>4216</v>
      </c>
      <c r="E130" s="5" t="s">
        <v>10</v>
      </c>
      <c r="F130" s="5">
        <v>2024</v>
      </c>
      <c r="G130" s="5" t="s">
        <v>158</v>
      </c>
    </row>
    <row r="131" spans="1:7" x14ac:dyDescent="0.25">
      <c r="A131" s="5" t="s">
        <v>165</v>
      </c>
      <c r="B131" s="5" t="s">
        <v>23</v>
      </c>
      <c r="C131" s="5" t="s">
        <v>134</v>
      </c>
      <c r="D131" s="5">
        <v>536</v>
      </c>
      <c r="E131" s="5" t="s">
        <v>21</v>
      </c>
      <c r="F131" s="5">
        <v>2024</v>
      </c>
      <c r="G131" s="5" t="s">
        <v>158</v>
      </c>
    </row>
    <row r="132" spans="1:7" x14ac:dyDescent="0.25">
      <c r="A132" s="5" t="s">
        <v>166</v>
      </c>
      <c r="B132" s="5" t="s">
        <v>16</v>
      </c>
      <c r="C132" s="5" t="s">
        <v>70</v>
      </c>
      <c r="D132" s="5">
        <v>4034</v>
      </c>
      <c r="E132" s="5" t="s">
        <v>27</v>
      </c>
      <c r="F132" s="5">
        <v>2024</v>
      </c>
      <c r="G132" s="5" t="s">
        <v>158</v>
      </c>
    </row>
    <row r="133" spans="1:7" x14ac:dyDescent="0.25">
      <c r="A133" s="5" t="s">
        <v>167</v>
      </c>
      <c r="B133" s="5" t="s">
        <v>28</v>
      </c>
      <c r="C133" s="5" t="s">
        <v>31</v>
      </c>
      <c r="D133" s="5">
        <v>689</v>
      </c>
      <c r="E133" s="5" t="s">
        <v>21</v>
      </c>
      <c r="F133" s="5">
        <v>2024</v>
      </c>
      <c r="G133" s="5" t="s">
        <v>158</v>
      </c>
    </row>
    <row r="134" spans="1:7" x14ac:dyDescent="0.25">
      <c r="A134" s="5" t="s">
        <v>167</v>
      </c>
      <c r="B134" s="5" t="s">
        <v>28</v>
      </c>
      <c r="C134" s="5" t="s">
        <v>107</v>
      </c>
      <c r="D134" s="5">
        <v>651</v>
      </c>
      <c r="E134" s="5" t="s">
        <v>15</v>
      </c>
      <c r="F134" s="5">
        <v>2024</v>
      </c>
      <c r="G134" s="5" t="s">
        <v>158</v>
      </c>
    </row>
    <row r="135" spans="1:7" x14ac:dyDescent="0.25">
      <c r="A135" s="5" t="s">
        <v>168</v>
      </c>
      <c r="B135" s="5" t="s">
        <v>41</v>
      </c>
      <c r="C135" s="5" t="s">
        <v>139</v>
      </c>
      <c r="D135" s="5">
        <v>136</v>
      </c>
      <c r="E135" s="5" t="s">
        <v>10</v>
      </c>
      <c r="F135" s="5">
        <v>2024</v>
      </c>
      <c r="G135" s="5" t="s">
        <v>158</v>
      </c>
    </row>
    <row r="136" spans="1:7" x14ac:dyDescent="0.25">
      <c r="A136" s="5" t="s">
        <v>169</v>
      </c>
      <c r="B136" s="5" t="s">
        <v>52</v>
      </c>
      <c r="C136" s="5" t="s">
        <v>66</v>
      </c>
      <c r="D136" s="5">
        <v>596</v>
      </c>
      <c r="E136" s="5" t="s">
        <v>21</v>
      </c>
      <c r="F136" s="5">
        <v>2024</v>
      </c>
      <c r="G136" s="5" t="s">
        <v>158</v>
      </c>
    </row>
    <row r="137" spans="1:7" x14ac:dyDescent="0.25">
      <c r="A137" s="5" t="s">
        <v>169</v>
      </c>
      <c r="B137" s="5" t="s">
        <v>8</v>
      </c>
      <c r="C137" s="5" t="s">
        <v>9</v>
      </c>
      <c r="D137" s="5">
        <v>8622</v>
      </c>
      <c r="E137" s="5" t="s">
        <v>15</v>
      </c>
      <c r="F137" s="5">
        <v>2024</v>
      </c>
      <c r="G137" s="5" t="s">
        <v>158</v>
      </c>
    </row>
    <row r="138" spans="1:7" x14ac:dyDescent="0.25">
      <c r="A138" s="5" t="s">
        <v>170</v>
      </c>
      <c r="B138" s="5" t="s">
        <v>16</v>
      </c>
      <c r="C138" s="5" t="s">
        <v>14</v>
      </c>
      <c r="D138" s="5">
        <v>978</v>
      </c>
      <c r="E138" s="5" t="s">
        <v>21</v>
      </c>
      <c r="F138" s="5">
        <v>2024</v>
      </c>
      <c r="G138" s="5" t="s">
        <v>158</v>
      </c>
    </row>
    <row r="139" spans="1:7" x14ac:dyDescent="0.25">
      <c r="A139" s="5" t="s">
        <v>171</v>
      </c>
      <c r="B139" s="5" t="s">
        <v>35</v>
      </c>
      <c r="C139" s="5" t="s">
        <v>68</v>
      </c>
      <c r="D139" s="5">
        <v>1921</v>
      </c>
      <c r="E139" s="5" t="s">
        <v>27</v>
      </c>
      <c r="F139" s="5">
        <v>2024</v>
      </c>
      <c r="G139" s="5" t="s">
        <v>158</v>
      </c>
    </row>
    <row r="140" spans="1:7" x14ac:dyDescent="0.25">
      <c r="A140" s="5" t="s">
        <v>172</v>
      </c>
      <c r="B140" s="5" t="s">
        <v>28</v>
      </c>
      <c r="C140" s="5" t="s">
        <v>107</v>
      </c>
      <c r="D140" s="5">
        <v>578</v>
      </c>
      <c r="E140" s="5" t="s">
        <v>10</v>
      </c>
      <c r="F140" s="5">
        <v>2024</v>
      </c>
      <c r="G140" s="5" t="s">
        <v>158</v>
      </c>
    </row>
    <row r="141" spans="1:7" x14ac:dyDescent="0.25">
      <c r="A141" s="5" t="s">
        <v>173</v>
      </c>
      <c r="B141" s="5" t="s">
        <v>23</v>
      </c>
      <c r="C141" s="5" t="s">
        <v>174</v>
      </c>
      <c r="D141" s="5">
        <v>486</v>
      </c>
      <c r="E141" s="5" t="s">
        <v>15</v>
      </c>
      <c r="F141" s="5">
        <v>2024</v>
      </c>
      <c r="G141" s="5" t="s">
        <v>158</v>
      </c>
    </row>
    <row r="142" spans="1:7" x14ac:dyDescent="0.25">
      <c r="A142" s="5" t="s">
        <v>173</v>
      </c>
      <c r="B142" s="5" t="s">
        <v>52</v>
      </c>
      <c r="C142" s="5" t="s">
        <v>58</v>
      </c>
      <c r="D142" s="5">
        <v>705</v>
      </c>
      <c r="E142" s="5" t="s">
        <v>21</v>
      </c>
      <c r="F142" s="5">
        <v>2024</v>
      </c>
      <c r="G142" s="5" t="s">
        <v>158</v>
      </c>
    </row>
    <row r="143" spans="1:7" x14ac:dyDescent="0.25">
      <c r="A143" s="5" t="s">
        <v>175</v>
      </c>
      <c r="B143" s="5" t="s">
        <v>35</v>
      </c>
      <c r="C143" s="5" t="s">
        <v>36</v>
      </c>
      <c r="D143" s="5">
        <v>872</v>
      </c>
      <c r="E143" s="5" t="s">
        <v>10</v>
      </c>
      <c r="F143" s="5">
        <v>2024</v>
      </c>
      <c r="G143" s="5" t="s">
        <v>158</v>
      </c>
    </row>
    <row r="144" spans="1:7" x14ac:dyDescent="0.25">
      <c r="A144" s="5" t="s">
        <v>175</v>
      </c>
      <c r="B144" s="5" t="s">
        <v>35</v>
      </c>
      <c r="C144" s="5" t="s">
        <v>36</v>
      </c>
      <c r="D144" s="5">
        <v>1615</v>
      </c>
      <c r="E144" s="5" t="s">
        <v>10</v>
      </c>
      <c r="F144" s="5">
        <v>2024</v>
      </c>
      <c r="G144" s="5" t="s">
        <v>158</v>
      </c>
    </row>
    <row r="145" spans="1:7" x14ac:dyDescent="0.25">
      <c r="A145" s="5" t="s">
        <v>176</v>
      </c>
      <c r="B145" s="5" t="s">
        <v>16</v>
      </c>
      <c r="C145" s="5" t="s">
        <v>14</v>
      </c>
      <c r="D145" s="5">
        <v>643</v>
      </c>
      <c r="E145" s="5" t="s">
        <v>15</v>
      </c>
      <c r="F145" s="5">
        <v>2024</v>
      </c>
      <c r="G145" s="5" t="s">
        <v>158</v>
      </c>
    </row>
    <row r="146" spans="1:7" x14ac:dyDescent="0.25">
      <c r="A146" s="5" t="s">
        <v>176</v>
      </c>
      <c r="B146" s="5" t="s">
        <v>33</v>
      </c>
      <c r="C146" s="5" t="s">
        <v>81</v>
      </c>
      <c r="D146" s="5">
        <v>1412</v>
      </c>
      <c r="E146" s="5" t="s">
        <v>21</v>
      </c>
      <c r="F146" s="5">
        <v>2024</v>
      </c>
      <c r="G146" s="5" t="s">
        <v>158</v>
      </c>
    </row>
    <row r="147" spans="1:7" x14ac:dyDescent="0.25">
      <c r="A147" s="5" t="s">
        <v>177</v>
      </c>
      <c r="B147" s="5" t="s">
        <v>25</v>
      </c>
      <c r="C147" s="5" t="s">
        <v>38</v>
      </c>
      <c r="D147" s="5">
        <v>4368</v>
      </c>
      <c r="E147" s="5" t="s">
        <v>21</v>
      </c>
      <c r="F147" s="5">
        <v>2024</v>
      </c>
      <c r="G147" s="5" t="s">
        <v>158</v>
      </c>
    </row>
    <row r="148" spans="1:7" x14ac:dyDescent="0.25">
      <c r="A148" s="5" t="s">
        <v>177</v>
      </c>
      <c r="B148" s="5" t="s">
        <v>23</v>
      </c>
      <c r="C148" s="5" t="s">
        <v>174</v>
      </c>
      <c r="D148" s="5">
        <v>2952</v>
      </c>
      <c r="E148" s="5" t="s">
        <v>21</v>
      </c>
      <c r="F148" s="5">
        <v>2024</v>
      </c>
      <c r="G148" s="5" t="s">
        <v>158</v>
      </c>
    </row>
    <row r="149" spans="1:7" x14ac:dyDescent="0.25">
      <c r="A149" s="5" t="s">
        <v>178</v>
      </c>
      <c r="B149" s="5" t="s">
        <v>16</v>
      </c>
      <c r="C149" s="5" t="s">
        <v>20</v>
      </c>
      <c r="D149" s="5">
        <v>2371</v>
      </c>
      <c r="E149" s="5" t="s">
        <v>10</v>
      </c>
      <c r="F149" s="5">
        <v>2024</v>
      </c>
      <c r="G149" s="5" t="s">
        <v>179</v>
      </c>
    </row>
    <row r="150" spans="1:7" x14ac:dyDescent="0.25">
      <c r="A150" s="5" t="s">
        <v>180</v>
      </c>
      <c r="B150" s="5" t="s">
        <v>35</v>
      </c>
      <c r="C150" s="5" t="s">
        <v>36</v>
      </c>
      <c r="D150" s="5">
        <v>931</v>
      </c>
      <c r="E150" s="5" t="s">
        <v>15</v>
      </c>
      <c r="F150" s="5">
        <v>2024</v>
      </c>
      <c r="G150" s="5" t="s">
        <v>179</v>
      </c>
    </row>
    <row r="151" spans="1:7" x14ac:dyDescent="0.25">
      <c r="A151" s="5" t="s">
        <v>181</v>
      </c>
      <c r="B151" s="5" t="s">
        <v>25</v>
      </c>
      <c r="C151" s="5" t="s">
        <v>48</v>
      </c>
      <c r="D151" s="5">
        <v>2781</v>
      </c>
      <c r="E151" s="5" t="s">
        <v>15</v>
      </c>
      <c r="F151" s="5">
        <v>2024</v>
      </c>
      <c r="G151" s="5" t="s">
        <v>179</v>
      </c>
    </row>
    <row r="152" spans="1:7" x14ac:dyDescent="0.25">
      <c r="A152" s="5" t="s">
        <v>181</v>
      </c>
      <c r="B152" s="5" t="s">
        <v>52</v>
      </c>
      <c r="C152" s="5" t="s">
        <v>66</v>
      </c>
      <c r="D152" s="5">
        <v>486</v>
      </c>
      <c r="E152" s="5" t="s">
        <v>21</v>
      </c>
      <c r="F152" s="5">
        <v>2024</v>
      </c>
      <c r="G152" s="5" t="s">
        <v>179</v>
      </c>
    </row>
    <row r="153" spans="1:7" x14ac:dyDescent="0.25">
      <c r="A153" s="5" t="s">
        <v>182</v>
      </c>
      <c r="B153" s="5" t="s">
        <v>35</v>
      </c>
      <c r="C153" s="5" t="s">
        <v>68</v>
      </c>
      <c r="D153" s="5">
        <v>829</v>
      </c>
      <c r="E153" s="5" t="s">
        <v>10</v>
      </c>
      <c r="F153" s="5">
        <v>2024</v>
      </c>
      <c r="G153" s="5" t="s">
        <v>179</v>
      </c>
    </row>
    <row r="154" spans="1:7" x14ac:dyDescent="0.25">
      <c r="A154" s="5" t="s">
        <v>182</v>
      </c>
      <c r="B154" s="5" t="s">
        <v>52</v>
      </c>
      <c r="C154" s="5" t="s">
        <v>53</v>
      </c>
      <c r="D154" s="5">
        <v>440</v>
      </c>
      <c r="E154" s="5" t="s">
        <v>15</v>
      </c>
      <c r="F154" s="5">
        <v>2024</v>
      </c>
      <c r="G154" s="5" t="s">
        <v>179</v>
      </c>
    </row>
    <row r="155" spans="1:7" x14ac:dyDescent="0.25">
      <c r="A155" s="5" t="s">
        <v>183</v>
      </c>
      <c r="B155" s="5" t="s">
        <v>16</v>
      </c>
      <c r="C155" s="5" t="s">
        <v>70</v>
      </c>
      <c r="D155" s="5">
        <v>802</v>
      </c>
      <c r="E155" s="5" t="s">
        <v>27</v>
      </c>
      <c r="F155" s="5">
        <v>2024</v>
      </c>
      <c r="G155" s="5" t="s">
        <v>179</v>
      </c>
    </row>
    <row r="156" spans="1:7" x14ac:dyDescent="0.25">
      <c r="A156" s="5" t="s">
        <v>184</v>
      </c>
      <c r="B156" s="5" t="s">
        <v>23</v>
      </c>
      <c r="C156" s="5" t="s">
        <v>174</v>
      </c>
      <c r="D156" s="5">
        <v>1225</v>
      </c>
      <c r="E156" s="5" t="s">
        <v>10</v>
      </c>
      <c r="F156" s="5">
        <v>2024</v>
      </c>
      <c r="G156" s="5" t="s">
        <v>179</v>
      </c>
    </row>
    <row r="157" spans="1:7" x14ac:dyDescent="0.25">
      <c r="A157" s="5" t="s">
        <v>184</v>
      </c>
      <c r="B157" s="5" t="s">
        <v>55</v>
      </c>
      <c r="C157" s="5" t="s">
        <v>56</v>
      </c>
      <c r="D157" s="5">
        <v>1346</v>
      </c>
      <c r="E157" s="5" t="s">
        <v>21</v>
      </c>
      <c r="F157" s="5">
        <v>2024</v>
      </c>
      <c r="G157" s="5" t="s">
        <v>179</v>
      </c>
    </row>
    <row r="158" spans="1:7" x14ac:dyDescent="0.25">
      <c r="A158" s="5" t="s">
        <v>184</v>
      </c>
      <c r="B158" s="5" t="s">
        <v>25</v>
      </c>
      <c r="C158" s="5" t="s">
        <v>26</v>
      </c>
      <c r="D158" s="5">
        <v>2167</v>
      </c>
      <c r="E158" s="5" t="s">
        <v>10</v>
      </c>
      <c r="F158" s="5">
        <v>2024</v>
      </c>
      <c r="G158" s="5" t="s">
        <v>179</v>
      </c>
    </row>
    <row r="159" spans="1:7" x14ac:dyDescent="0.25">
      <c r="A159" s="5" t="s">
        <v>185</v>
      </c>
      <c r="B159" s="5" t="s">
        <v>33</v>
      </c>
      <c r="C159" s="5" t="s">
        <v>87</v>
      </c>
      <c r="D159" s="5">
        <v>756</v>
      </c>
      <c r="E159" s="5" t="s">
        <v>10</v>
      </c>
      <c r="F159" s="5">
        <v>2024</v>
      </c>
      <c r="G159" s="5" t="s">
        <v>179</v>
      </c>
    </row>
    <row r="160" spans="1:7" x14ac:dyDescent="0.25">
      <c r="A160" s="5" t="s">
        <v>186</v>
      </c>
      <c r="B160" s="5" t="s">
        <v>23</v>
      </c>
      <c r="C160" s="5" t="s">
        <v>174</v>
      </c>
      <c r="D160" s="5">
        <v>424</v>
      </c>
      <c r="E160" s="5" t="s">
        <v>27</v>
      </c>
      <c r="F160" s="5">
        <v>2024</v>
      </c>
      <c r="G160" s="5" t="s">
        <v>179</v>
      </c>
    </row>
    <row r="161" spans="1:7" x14ac:dyDescent="0.25">
      <c r="A161" s="5" t="s">
        <v>186</v>
      </c>
      <c r="B161" s="5" t="s">
        <v>52</v>
      </c>
      <c r="C161" s="5" t="s">
        <v>58</v>
      </c>
      <c r="D161" s="5">
        <v>245</v>
      </c>
      <c r="E161" s="5" t="s">
        <v>15</v>
      </c>
      <c r="F161" s="5">
        <v>2024</v>
      </c>
      <c r="G161" s="5" t="s">
        <v>179</v>
      </c>
    </row>
    <row r="162" spans="1:7" x14ac:dyDescent="0.25">
      <c r="A162" s="5" t="s">
        <v>186</v>
      </c>
      <c r="B162" s="5" t="s">
        <v>52</v>
      </c>
      <c r="C162" s="5" t="s">
        <v>53</v>
      </c>
      <c r="D162" s="5">
        <v>696</v>
      </c>
      <c r="E162" s="5" t="s">
        <v>27</v>
      </c>
      <c r="F162" s="5">
        <v>2024</v>
      </c>
      <c r="G162" s="5" t="s">
        <v>179</v>
      </c>
    </row>
    <row r="163" spans="1:7" x14ac:dyDescent="0.25">
      <c r="A163" s="5" t="s">
        <v>187</v>
      </c>
      <c r="B163" s="5" t="s">
        <v>33</v>
      </c>
      <c r="C163" s="5" t="s">
        <v>34</v>
      </c>
      <c r="D163" s="5">
        <v>658</v>
      </c>
      <c r="E163" s="5" t="s">
        <v>10</v>
      </c>
      <c r="F163" s="5">
        <v>2024</v>
      </c>
      <c r="G163" s="5" t="s">
        <v>179</v>
      </c>
    </row>
    <row r="164" spans="1:7" x14ac:dyDescent="0.25">
      <c r="A164" s="5" t="s">
        <v>187</v>
      </c>
      <c r="B164" s="5" t="s">
        <v>16</v>
      </c>
      <c r="C164" s="5" t="s">
        <v>20</v>
      </c>
      <c r="D164" s="5">
        <v>418</v>
      </c>
      <c r="E164" s="5" t="s">
        <v>10</v>
      </c>
      <c r="F164" s="5">
        <v>2024</v>
      </c>
      <c r="G164" s="5" t="s">
        <v>179</v>
      </c>
    </row>
    <row r="165" spans="1:7" x14ac:dyDescent="0.25">
      <c r="A165" s="5" t="s">
        <v>188</v>
      </c>
      <c r="B165" s="5" t="s">
        <v>33</v>
      </c>
      <c r="C165" s="5" t="s">
        <v>39</v>
      </c>
      <c r="D165" s="5">
        <v>174</v>
      </c>
      <c r="E165" s="5" t="s">
        <v>21</v>
      </c>
      <c r="F165" s="5">
        <v>2024</v>
      </c>
      <c r="G165" s="5" t="s">
        <v>179</v>
      </c>
    </row>
    <row r="166" spans="1:7" x14ac:dyDescent="0.25">
      <c r="A166" s="5" t="s">
        <v>188</v>
      </c>
      <c r="B166" s="5" t="s">
        <v>28</v>
      </c>
      <c r="C166" s="5" t="s">
        <v>31</v>
      </c>
      <c r="D166" s="5">
        <v>213</v>
      </c>
      <c r="E166" s="5" t="s">
        <v>21</v>
      </c>
      <c r="F166" s="5">
        <v>2024</v>
      </c>
      <c r="G166" s="5" t="s">
        <v>179</v>
      </c>
    </row>
    <row r="167" spans="1:7" x14ac:dyDescent="0.25">
      <c r="A167" s="5" t="s">
        <v>188</v>
      </c>
      <c r="B167" s="5" t="s">
        <v>16</v>
      </c>
      <c r="C167" s="5" t="s">
        <v>17</v>
      </c>
      <c r="D167" s="5">
        <v>794</v>
      </c>
      <c r="E167" s="5" t="s">
        <v>21</v>
      </c>
      <c r="F167" s="5">
        <v>2024</v>
      </c>
      <c r="G167" s="5" t="s">
        <v>179</v>
      </c>
    </row>
    <row r="168" spans="1:7" x14ac:dyDescent="0.25">
      <c r="A168" s="5" t="s">
        <v>189</v>
      </c>
      <c r="B168" s="5" t="s">
        <v>55</v>
      </c>
      <c r="C168" s="5" t="s">
        <v>64</v>
      </c>
      <c r="D168" s="5">
        <v>1075</v>
      </c>
      <c r="E168" s="5" t="s">
        <v>10</v>
      </c>
      <c r="F168" s="5">
        <v>2024</v>
      </c>
      <c r="G168" s="5" t="s">
        <v>179</v>
      </c>
    </row>
    <row r="169" spans="1:7" x14ac:dyDescent="0.25">
      <c r="A169" s="5" t="s">
        <v>190</v>
      </c>
      <c r="B169" s="5" t="s">
        <v>55</v>
      </c>
      <c r="C169" s="5" t="s">
        <v>92</v>
      </c>
      <c r="D169" s="5">
        <v>377</v>
      </c>
      <c r="E169" s="5" t="s">
        <v>27</v>
      </c>
      <c r="F169" s="5">
        <v>2024</v>
      </c>
      <c r="G169" s="5" t="s">
        <v>179</v>
      </c>
    </row>
    <row r="170" spans="1:7" x14ac:dyDescent="0.25">
      <c r="A170" s="5" t="s">
        <v>191</v>
      </c>
      <c r="B170" s="5" t="s">
        <v>8</v>
      </c>
      <c r="C170" s="5" t="s">
        <v>192</v>
      </c>
      <c r="D170" s="5">
        <v>14764</v>
      </c>
      <c r="E170" s="5" t="s">
        <v>10</v>
      </c>
      <c r="F170" s="5">
        <v>2024</v>
      </c>
      <c r="G170" s="5" t="s">
        <v>179</v>
      </c>
    </row>
    <row r="171" spans="1:7" x14ac:dyDescent="0.25">
      <c r="A171" s="5" t="s">
        <v>193</v>
      </c>
      <c r="B171" s="5" t="s">
        <v>35</v>
      </c>
      <c r="C171" s="5" t="s">
        <v>99</v>
      </c>
      <c r="D171" s="5">
        <v>1385</v>
      </c>
      <c r="E171" s="5" t="s">
        <v>21</v>
      </c>
      <c r="F171" s="5">
        <v>2024</v>
      </c>
      <c r="G171" s="5" t="s">
        <v>179</v>
      </c>
    </row>
    <row r="172" spans="1:7" x14ac:dyDescent="0.25">
      <c r="A172" s="5" t="s">
        <v>194</v>
      </c>
      <c r="B172" s="5" t="s">
        <v>41</v>
      </c>
      <c r="C172" s="5" t="s">
        <v>45</v>
      </c>
      <c r="D172" s="5">
        <v>587</v>
      </c>
      <c r="E172" s="5" t="s">
        <v>27</v>
      </c>
      <c r="F172" s="5">
        <v>2024</v>
      </c>
      <c r="G172" s="5" t="s">
        <v>195</v>
      </c>
    </row>
    <row r="173" spans="1:7" x14ac:dyDescent="0.25">
      <c r="A173" s="5" t="s">
        <v>196</v>
      </c>
      <c r="B173" s="5" t="s">
        <v>55</v>
      </c>
      <c r="C173" s="5" t="s">
        <v>64</v>
      </c>
      <c r="D173" s="5">
        <v>533</v>
      </c>
      <c r="E173" s="5" t="s">
        <v>10</v>
      </c>
      <c r="F173" s="5">
        <v>2024</v>
      </c>
      <c r="G173" s="5" t="s">
        <v>195</v>
      </c>
    </row>
    <row r="174" spans="1:7" x14ac:dyDescent="0.25">
      <c r="A174" s="5" t="s">
        <v>197</v>
      </c>
      <c r="B174" s="5" t="s">
        <v>52</v>
      </c>
      <c r="C174" s="5" t="s">
        <v>66</v>
      </c>
      <c r="D174" s="5">
        <v>201</v>
      </c>
      <c r="E174" s="5" t="s">
        <v>21</v>
      </c>
      <c r="F174" s="5">
        <v>2024</v>
      </c>
      <c r="G174" s="5" t="s">
        <v>195</v>
      </c>
    </row>
    <row r="175" spans="1:7" x14ac:dyDescent="0.25">
      <c r="A175" s="5" t="s">
        <v>197</v>
      </c>
      <c r="B175" s="5" t="s">
        <v>25</v>
      </c>
      <c r="C175" s="5" t="s">
        <v>48</v>
      </c>
      <c r="D175" s="5">
        <v>2735</v>
      </c>
      <c r="E175" s="5" t="s">
        <v>21</v>
      </c>
      <c r="F175" s="5">
        <v>2024</v>
      </c>
      <c r="G175" s="5" t="s">
        <v>195</v>
      </c>
    </row>
    <row r="176" spans="1:7" x14ac:dyDescent="0.25">
      <c r="A176" s="5" t="s">
        <v>198</v>
      </c>
      <c r="B176" s="5" t="s">
        <v>28</v>
      </c>
      <c r="C176" s="5" t="s">
        <v>31</v>
      </c>
      <c r="D176" s="5">
        <v>628</v>
      </c>
      <c r="E176" s="5" t="s">
        <v>10</v>
      </c>
      <c r="F176" s="5">
        <v>2024</v>
      </c>
      <c r="G176" s="5" t="s">
        <v>195</v>
      </c>
    </row>
    <row r="177" spans="1:7" x14ac:dyDescent="0.25">
      <c r="A177" s="5" t="s">
        <v>199</v>
      </c>
      <c r="B177" s="5" t="s">
        <v>52</v>
      </c>
      <c r="C177" s="5" t="s">
        <v>53</v>
      </c>
      <c r="D177" s="5">
        <v>715</v>
      </c>
      <c r="E177" s="5" t="s">
        <v>10</v>
      </c>
      <c r="F177" s="5">
        <v>2024</v>
      </c>
      <c r="G177" s="5" t="s">
        <v>195</v>
      </c>
    </row>
    <row r="178" spans="1:7" x14ac:dyDescent="0.25">
      <c r="A178" s="5" t="s">
        <v>199</v>
      </c>
      <c r="B178" s="5" t="s">
        <v>41</v>
      </c>
      <c r="C178" s="5" t="s">
        <v>130</v>
      </c>
      <c r="D178" s="5">
        <v>460</v>
      </c>
      <c r="E178" s="5" t="s">
        <v>21</v>
      </c>
      <c r="F178" s="5">
        <v>2024</v>
      </c>
      <c r="G178" s="5" t="s">
        <v>195</v>
      </c>
    </row>
    <row r="179" spans="1:7" x14ac:dyDescent="0.25">
      <c r="A179" s="5" t="s">
        <v>199</v>
      </c>
      <c r="B179" s="5" t="s">
        <v>8</v>
      </c>
      <c r="C179" s="5" t="s">
        <v>9</v>
      </c>
      <c r="D179" s="5">
        <v>12594</v>
      </c>
      <c r="E179" s="5" t="s">
        <v>10</v>
      </c>
      <c r="F179" s="5">
        <v>2024</v>
      </c>
      <c r="G179" s="5" t="s">
        <v>195</v>
      </c>
    </row>
    <row r="180" spans="1:7" x14ac:dyDescent="0.25">
      <c r="A180" s="5" t="s">
        <v>200</v>
      </c>
      <c r="B180" s="5" t="s">
        <v>16</v>
      </c>
      <c r="C180" s="5" t="s">
        <v>20</v>
      </c>
      <c r="D180" s="5">
        <v>2102</v>
      </c>
      <c r="E180" s="5" t="s">
        <v>15</v>
      </c>
      <c r="F180" s="5">
        <v>2024</v>
      </c>
      <c r="G180" s="5" t="s">
        <v>195</v>
      </c>
    </row>
    <row r="181" spans="1:7" x14ac:dyDescent="0.25">
      <c r="A181" s="5" t="s">
        <v>200</v>
      </c>
      <c r="B181" s="5" t="s">
        <v>28</v>
      </c>
      <c r="C181" s="5" t="s">
        <v>29</v>
      </c>
      <c r="D181" s="5">
        <v>335</v>
      </c>
      <c r="E181" s="5" t="s">
        <v>21</v>
      </c>
      <c r="F181" s="5">
        <v>2024</v>
      </c>
      <c r="G181" s="5" t="s">
        <v>195</v>
      </c>
    </row>
    <row r="182" spans="1:7" x14ac:dyDescent="0.25">
      <c r="A182" s="5" t="s">
        <v>201</v>
      </c>
      <c r="B182" s="5" t="s">
        <v>23</v>
      </c>
      <c r="C182" s="5" t="s">
        <v>174</v>
      </c>
      <c r="D182" s="5">
        <v>2344</v>
      </c>
      <c r="E182" s="5" t="s">
        <v>15</v>
      </c>
      <c r="F182" s="5">
        <v>2024</v>
      </c>
      <c r="G182" s="5" t="s">
        <v>195</v>
      </c>
    </row>
    <row r="183" spans="1:7" x14ac:dyDescent="0.25">
      <c r="A183" s="5" t="s">
        <v>202</v>
      </c>
      <c r="B183" s="5" t="s">
        <v>8</v>
      </c>
      <c r="C183" s="5" t="s">
        <v>61</v>
      </c>
      <c r="D183" s="5">
        <v>11790</v>
      </c>
      <c r="E183" s="5" t="s">
        <v>10</v>
      </c>
      <c r="F183" s="5">
        <v>2024</v>
      </c>
      <c r="G183" s="5" t="s">
        <v>195</v>
      </c>
    </row>
    <row r="184" spans="1:7" x14ac:dyDescent="0.25">
      <c r="A184" s="5" t="s">
        <v>202</v>
      </c>
      <c r="B184" s="5" t="s">
        <v>25</v>
      </c>
      <c r="C184" s="5" t="s">
        <v>38</v>
      </c>
      <c r="D184" s="5">
        <v>1752</v>
      </c>
      <c r="E184" s="5" t="s">
        <v>21</v>
      </c>
      <c r="F184" s="5">
        <v>2024</v>
      </c>
      <c r="G184" s="5" t="s">
        <v>195</v>
      </c>
    </row>
    <row r="185" spans="1:7" x14ac:dyDescent="0.25">
      <c r="A185" s="5" t="s">
        <v>203</v>
      </c>
      <c r="B185" s="5" t="s">
        <v>35</v>
      </c>
      <c r="C185" s="5" t="s">
        <v>36</v>
      </c>
      <c r="D185" s="5">
        <v>2496</v>
      </c>
      <c r="E185" s="5" t="s">
        <v>10</v>
      </c>
      <c r="F185" s="5">
        <v>2024</v>
      </c>
      <c r="G185" s="5" t="s">
        <v>195</v>
      </c>
    </row>
    <row r="186" spans="1:7" x14ac:dyDescent="0.25">
      <c r="A186" s="5" t="s">
        <v>204</v>
      </c>
      <c r="B186" s="5" t="s">
        <v>41</v>
      </c>
      <c r="C186" s="5" t="s">
        <v>139</v>
      </c>
      <c r="D186" s="5">
        <v>145</v>
      </c>
      <c r="E186" s="5" t="s">
        <v>21</v>
      </c>
      <c r="F186" s="5">
        <v>2024</v>
      </c>
      <c r="G186" s="5" t="s">
        <v>195</v>
      </c>
    </row>
    <row r="187" spans="1:7" x14ac:dyDescent="0.25">
      <c r="A187" s="5" t="s">
        <v>205</v>
      </c>
      <c r="B187" s="5" t="s">
        <v>25</v>
      </c>
      <c r="C187" s="5" t="s">
        <v>38</v>
      </c>
      <c r="D187" s="5">
        <v>2952</v>
      </c>
      <c r="E187" s="5" t="s">
        <v>10</v>
      </c>
      <c r="F187" s="5">
        <v>2024</v>
      </c>
      <c r="G187" s="5" t="s">
        <v>195</v>
      </c>
    </row>
    <row r="188" spans="1:7" x14ac:dyDescent="0.25">
      <c r="A188" s="5" t="s">
        <v>206</v>
      </c>
      <c r="B188" s="5" t="s">
        <v>25</v>
      </c>
      <c r="C188" s="5" t="s">
        <v>136</v>
      </c>
      <c r="D188" s="5">
        <v>3286</v>
      </c>
      <c r="E188" s="5" t="s">
        <v>27</v>
      </c>
      <c r="F188" s="5">
        <v>2024</v>
      </c>
      <c r="G188" s="5" t="s">
        <v>207</v>
      </c>
    </row>
    <row r="189" spans="1:7" x14ac:dyDescent="0.25">
      <c r="A189" s="5" t="s">
        <v>208</v>
      </c>
      <c r="B189" s="5" t="s">
        <v>33</v>
      </c>
      <c r="C189" s="5" t="s">
        <v>81</v>
      </c>
      <c r="D189" s="5">
        <v>1086</v>
      </c>
      <c r="E189" s="5" t="s">
        <v>15</v>
      </c>
      <c r="F189" s="5">
        <v>2024</v>
      </c>
      <c r="G189" s="5" t="s">
        <v>207</v>
      </c>
    </row>
    <row r="190" spans="1:7" x14ac:dyDescent="0.25">
      <c r="A190" s="5" t="s">
        <v>209</v>
      </c>
      <c r="B190" s="5" t="s">
        <v>33</v>
      </c>
      <c r="C190" s="5" t="s">
        <v>87</v>
      </c>
      <c r="D190" s="5">
        <v>688</v>
      </c>
      <c r="E190" s="5" t="s">
        <v>15</v>
      </c>
      <c r="F190" s="5">
        <v>2024</v>
      </c>
      <c r="G190" s="5" t="s">
        <v>207</v>
      </c>
    </row>
    <row r="191" spans="1:7" x14ac:dyDescent="0.25">
      <c r="A191" s="5" t="s">
        <v>210</v>
      </c>
      <c r="B191" s="5" t="s">
        <v>52</v>
      </c>
      <c r="C191" s="5" t="s">
        <v>74</v>
      </c>
      <c r="D191" s="5">
        <v>910</v>
      </c>
      <c r="E191" s="5" t="s">
        <v>21</v>
      </c>
      <c r="F191" s="5">
        <v>2024</v>
      </c>
      <c r="G191" s="5" t="s">
        <v>207</v>
      </c>
    </row>
    <row r="192" spans="1:7" x14ac:dyDescent="0.25">
      <c r="A192" s="5" t="s">
        <v>211</v>
      </c>
      <c r="B192" s="5" t="s">
        <v>16</v>
      </c>
      <c r="C192" s="5" t="s">
        <v>70</v>
      </c>
      <c r="D192" s="5">
        <v>3723</v>
      </c>
      <c r="E192" s="5" t="s">
        <v>15</v>
      </c>
      <c r="F192" s="5">
        <v>2024</v>
      </c>
      <c r="G192" s="5" t="s">
        <v>207</v>
      </c>
    </row>
    <row r="193" spans="1:7" x14ac:dyDescent="0.25">
      <c r="A193" s="5" t="s">
        <v>211</v>
      </c>
      <c r="B193" s="5" t="s">
        <v>16</v>
      </c>
      <c r="C193" s="5" t="s">
        <v>20</v>
      </c>
      <c r="D193" s="5">
        <v>1234</v>
      </c>
      <c r="E193" s="5" t="s">
        <v>10</v>
      </c>
      <c r="F193" s="5">
        <v>2024</v>
      </c>
      <c r="G193" s="5" t="s">
        <v>207</v>
      </c>
    </row>
    <row r="194" spans="1:7" x14ac:dyDescent="0.25">
      <c r="A194" s="5" t="s">
        <v>212</v>
      </c>
      <c r="B194" s="5" t="s">
        <v>16</v>
      </c>
      <c r="C194" s="5" t="s">
        <v>17</v>
      </c>
      <c r="D194" s="5">
        <v>1771</v>
      </c>
      <c r="E194" s="5" t="s">
        <v>15</v>
      </c>
      <c r="F194" s="5">
        <v>2024</v>
      </c>
      <c r="G194" s="5" t="s">
        <v>207</v>
      </c>
    </row>
    <row r="195" spans="1:7" x14ac:dyDescent="0.25">
      <c r="A195" s="5" t="s">
        <v>213</v>
      </c>
      <c r="B195" s="5" t="s">
        <v>25</v>
      </c>
      <c r="C195" s="5" t="s">
        <v>136</v>
      </c>
      <c r="D195" s="5">
        <v>1494</v>
      </c>
      <c r="E195" s="5" t="s">
        <v>15</v>
      </c>
      <c r="F195" s="5">
        <v>2024</v>
      </c>
      <c r="G195" s="5" t="s">
        <v>207</v>
      </c>
    </row>
    <row r="196" spans="1:7" x14ac:dyDescent="0.25">
      <c r="A196" s="5" t="s">
        <v>214</v>
      </c>
      <c r="B196" s="5" t="s">
        <v>52</v>
      </c>
      <c r="C196" s="5" t="s">
        <v>66</v>
      </c>
      <c r="D196" s="5">
        <v>774</v>
      </c>
      <c r="E196" s="5" t="s">
        <v>15</v>
      </c>
      <c r="F196" s="5">
        <v>2024</v>
      </c>
      <c r="G196" s="5" t="s">
        <v>207</v>
      </c>
    </row>
    <row r="197" spans="1:7" x14ac:dyDescent="0.25">
      <c r="A197" s="5" t="s">
        <v>214</v>
      </c>
      <c r="B197" s="5" t="s">
        <v>25</v>
      </c>
      <c r="C197" s="5" t="s">
        <v>136</v>
      </c>
      <c r="D197" s="5">
        <v>4964</v>
      </c>
      <c r="E197" s="5" t="s">
        <v>15</v>
      </c>
      <c r="F197" s="5">
        <v>2024</v>
      </c>
      <c r="G197" s="5" t="s">
        <v>207</v>
      </c>
    </row>
    <row r="198" spans="1:7" x14ac:dyDescent="0.25">
      <c r="A198" s="5" t="s">
        <v>215</v>
      </c>
      <c r="B198" s="5" t="s">
        <v>25</v>
      </c>
      <c r="C198" s="5" t="s">
        <v>26</v>
      </c>
      <c r="D198" s="5">
        <v>1187</v>
      </c>
      <c r="E198" s="5" t="s">
        <v>21</v>
      </c>
      <c r="F198" s="5">
        <v>2024</v>
      </c>
      <c r="G198" s="5" t="s">
        <v>207</v>
      </c>
    </row>
    <row r="199" spans="1:7" x14ac:dyDescent="0.25">
      <c r="A199" s="5" t="s">
        <v>216</v>
      </c>
      <c r="B199" s="5" t="s">
        <v>23</v>
      </c>
      <c r="C199" s="5" t="s">
        <v>174</v>
      </c>
      <c r="D199" s="5">
        <v>2669</v>
      </c>
      <c r="E199" s="5" t="s">
        <v>15</v>
      </c>
      <c r="F199" s="5">
        <v>2024</v>
      </c>
      <c r="G199" s="5" t="s">
        <v>207</v>
      </c>
    </row>
    <row r="200" spans="1:7" x14ac:dyDescent="0.25">
      <c r="A200" s="5" t="s">
        <v>217</v>
      </c>
      <c r="B200" s="5" t="s">
        <v>16</v>
      </c>
      <c r="C200" s="5" t="s">
        <v>20</v>
      </c>
      <c r="D200" s="5">
        <v>3526</v>
      </c>
      <c r="E200" s="5" t="s">
        <v>21</v>
      </c>
      <c r="F200" s="5">
        <v>2024</v>
      </c>
      <c r="G200" s="5" t="s">
        <v>207</v>
      </c>
    </row>
    <row r="201" spans="1:7" x14ac:dyDescent="0.25">
      <c r="A201" s="5" t="s">
        <v>218</v>
      </c>
      <c r="B201" s="5" t="s">
        <v>23</v>
      </c>
      <c r="C201" s="5" t="s">
        <v>24</v>
      </c>
      <c r="D201" s="5">
        <v>1991</v>
      </c>
      <c r="E201" s="5" t="s">
        <v>27</v>
      </c>
      <c r="F201" s="5">
        <v>2024</v>
      </c>
      <c r="G201" s="5" t="s">
        <v>207</v>
      </c>
    </row>
    <row r="202" spans="1:7" x14ac:dyDescent="0.25">
      <c r="A202" s="5" t="s">
        <v>219</v>
      </c>
      <c r="B202" s="5" t="s">
        <v>23</v>
      </c>
      <c r="C202" s="5" t="s">
        <v>96</v>
      </c>
      <c r="D202" s="5">
        <v>2022</v>
      </c>
      <c r="E202" s="5" t="s">
        <v>21</v>
      </c>
      <c r="F202" s="5">
        <v>2024</v>
      </c>
      <c r="G202" s="5" t="s">
        <v>207</v>
      </c>
    </row>
    <row r="203" spans="1:7" x14ac:dyDescent="0.25">
      <c r="A203" s="5" t="s">
        <v>219</v>
      </c>
      <c r="B203" s="5" t="s">
        <v>35</v>
      </c>
      <c r="C203" s="5" t="s">
        <v>68</v>
      </c>
      <c r="D203" s="5">
        <v>2010</v>
      </c>
      <c r="E203" s="5" t="s">
        <v>10</v>
      </c>
      <c r="F203" s="5">
        <v>2024</v>
      </c>
      <c r="G203" s="5" t="s">
        <v>207</v>
      </c>
    </row>
    <row r="204" spans="1:7" x14ac:dyDescent="0.25">
      <c r="A204" s="5" t="s">
        <v>219</v>
      </c>
      <c r="B204" s="5" t="s">
        <v>55</v>
      </c>
      <c r="C204" s="5" t="s">
        <v>92</v>
      </c>
      <c r="D204" s="5">
        <v>1953</v>
      </c>
      <c r="E204" s="5" t="s">
        <v>21</v>
      </c>
      <c r="F204" s="5">
        <v>2024</v>
      </c>
      <c r="G204" s="5" t="s">
        <v>207</v>
      </c>
    </row>
    <row r="205" spans="1:7" x14ac:dyDescent="0.25">
      <c r="A205" s="5" t="s">
        <v>220</v>
      </c>
      <c r="B205" s="5" t="s">
        <v>33</v>
      </c>
      <c r="C205" s="5" t="s">
        <v>39</v>
      </c>
      <c r="D205" s="5">
        <v>408</v>
      </c>
      <c r="E205" s="5" t="s">
        <v>10</v>
      </c>
      <c r="F205" s="5">
        <v>2024</v>
      </c>
      <c r="G205" s="5" t="s">
        <v>207</v>
      </c>
    </row>
    <row r="206" spans="1:7" x14ac:dyDescent="0.25">
      <c r="A206" s="5" t="s">
        <v>220</v>
      </c>
      <c r="B206" s="5" t="s">
        <v>16</v>
      </c>
      <c r="C206" s="5" t="s">
        <v>70</v>
      </c>
      <c r="D206" s="5">
        <v>1442</v>
      </c>
      <c r="E206" s="5" t="s">
        <v>21</v>
      </c>
      <c r="F206" s="5">
        <v>2024</v>
      </c>
      <c r="G206" s="5" t="s">
        <v>207</v>
      </c>
    </row>
    <row r="207" spans="1:7" x14ac:dyDescent="0.25">
      <c r="A207" s="5" t="s">
        <v>220</v>
      </c>
      <c r="B207" s="5" t="s">
        <v>8</v>
      </c>
      <c r="C207" s="5" t="s">
        <v>9</v>
      </c>
      <c r="D207" s="5">
        <v>13771</v>
      </c>
      <c r="E207" s="5" t="s">
        <v>10</v>
      </c>
      <c r="F207" s="5">
        <v>2024</v>
      </c>
      <c r="G207" s="5" t="s">
        <v>207</v>
      </c>
    </row>
    <row r="208" spans="1:7" x14ac:dyDescent="0.25">
      <c r="A208" s="5" t="s">
        <v>221</v>
      </c>
      <c r="B208" s="5" t="s">
        <v>35</v>
      </c>
      <c r="C208" s="5" t="s">
        <v>99</v>
      </c>
      <c r="D208" s="5">
        <v>456</v>
      </c>
      <c r="E208" s="5" t="s">
        <v>10</v>
      </c>
      <c r="F208" s="5">
        <v>2024</v>
      </c>
      <c r="G208" s="5" t="s">
        <v>207</v>
      </c>
    </row>
    <row r="209" spans="1:7" x14ac:dyDescent="0.25">
      <c r="A209" s="5" t="s">
        <v>222</v>
      </c>
      <c r="B209" s="5" t="s">
        <v>23</v>
      </c>
      <c r="C209" s="5" t="s">
        <v>134</v>
      </c>
      <c r="D209" s="5">
        <v>2700</v>
      </c>
      <c r="E209" s="5" t="s">
        <v>21</v>
      </c>
      <c r="F209" s="5">
        <v>2024</v>
      </c>
      <c r="G209" s="5" t="s">
        <v>207</v>
      </c>
    </row>
    <row r="210" spans="1:7" x14ac:dyDescent="0.25">
      <c r="A210" s="5" t="s">
        <v>222</v>
      </c>
      <c r="B210" s="5" t="s">
        <v>25</v>
      </c>
      <c r="C210" s="5" t="s">
        <v>38</v>
      </c>
      <c r="D210" s="5">
        <v>3771</v>
      </c>
      <c r="E210" s="5" t="s">
        <v>15</v>
      </c>
      <c r="F210" s="5">
        <v>2024</v>
      </c>
      <c r="G210" s="5" t="s">
        <v>207</v>
      </c>
    </row>
    <row r="211" spans="1:7" x14ac:dyDescent="0.25">
      <c r="A211" s="5" t="s">
        <v>223</v>
      </c>
      <c r="B211" s="5" t="s">
        <v>23</v>
      </c>
      <c r="C211" s="5" t="s">
        <v>174</v>
      </c>
      <c r="D211" s="5">
        <v>1799</v>
      </c>
      <c r="E211" s="5" t="s">
        <v>10</v>
      </c>
      <c r="F211" s="5">
        <v>2024</v>
      </c>
      <c r="G211" s="5" t="s">
        <v>207</v>
      </c>
    </row>
    <row r="212" spans="1:7" x14ac:dyDescent="0.25">
      <c r="A212" s="5" t="s">
        <v>224</v>
      </c>
      <c r="B212" s="5" t="s">
        <v>52</v>
      </c>
      <c r="C212" s="5" t="s">
        <v>66</v>
      </c>
      <c r="D212" s="5">
        <v>872</v>
      </c>
      <c r="E212" s="5" t="s">
        <v>21</v>
      </c>
      <c r="F212" s="5">
        <v>2024</v>
      </c>
      <c r="G212" s="5" t="s">
        <v>225</v>
      </c>
    </row>
    <row r="213" spans="1:7" x14ac:dyDescent="0.25">
      <c r="A213" s="5" t="s">
        <v>226</v>
      </c>
      <c r="B213" s="5" t="s">
        <v>16</v>
      </c>
      <c r="C213" s="5" t="s">
        <v>17</v>
      </c>
      <c r="D213" s="5">
        <v>3355</v>
      </c>
      <c r="E213" s="5" t="s">
        <v>15</v>
      </c>
      <c r="F213" s="5">
        <v>2024</v>
      </c>
      <c r="G213" s="5" t="s">
        <v>225</v>
      </c>
    </row>
    <row r="214" spans="1:7" x14ac:dyDescent="0.25">
      <c r="A214" s="5" t="s">
        <v>227</v>
      </c>
      <c r="B214" s="5" t="s">
        <v>13</v>
      </c>
      <c r="C214" s="5" t="s">
        <v>174</v>
      </c>
      <c r="D214" s="5">
        <v>734</v>
      </c>
      <c r="E214" s="5" t="s">
        <v>27</v>
      </c>
      <c r="F214" s="5">
        <v>2024</v>
      </c>
      <c r="G214" s="5" t="s">
        <v>225</v>
      </c>
    </row>
    <row r="215" spans="1:7" x14ac:dyDescent="0.25">
      <c r="A215" s="5" t="s">
        <v>228</v>
      </c>
      <c r="B215" s="5" t="s">
        <v>16</v>
      </c>
      <c r="C215" s="5" t="s">
        <v>14</v>
      </c>
      <c r="D215" s="5">
        <v>526</v>
      </c>
      <c r="E215" s="5" t="s">
        <v>15</v>
      </c>
      <c r="F215" s="5">
        <v>2024</v>
      </c>
      <c r="G215" s="5" t="s">
        <v>229</v>
      </c>
    </row>
    <row r="216" spans="1:7" x14ac:dyDescent="0.25">
      <c r="A216" s="5" t="s">
        <v>228</v>
      </c>
      <c r="B216" s="5" t="s">
        <v>41</v>
      </c>
      <c r="C216" s="5" t="s">
        <v>45</v>
      </c>
      <c r="D216" s="5">
        <v>586</v>
      </c>
      <c r="E216" s="5" t="s">
        <v>10</v>
      </c>
      <c r="F216" s="5">
        <v>2024</v>
      </c>
      <c r="G216" s="5" t="s">
        <v>229</v>
      </c>
    </row>
    <row r="217" spans="1:7" x14ac:dyDescent="0.25">
      <c r="A217" s="5" t="s">
        <v>228</v>
      </c>
      <c r="B217" s="5" t="s">
        <v>8</v>
      </c>
      <c r="C217" s="5" t="s">
        <v>9</v>
      </c>
      <c r="D217" s="5">
        <v>11839</v>
      </c>
      <c r="E217" s="5" t="s">
        <v>27</v>
      </c>
      <c r="F217" s="5">
        <v>2024</v>
      </c>
      <c r="G217" s="5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zoomScaleNormal="100" workbookViewId="0"/>
  </sheetViews>
  <sheetFormatPr defaultColWidth="8.7109375" defaultRowHeight="15" x14ac:dyDescent="0.25"/>
  <sheetData>
    <row r="1" spans="1:14" x14ac:dyDescent="0.25">
      <c r="A1" s="6" t="s">
        <v>1</v>
      </c>
      <c r="B1" s="6" t="s">
        <v>230</v>
      </c>
      <c r="C1" s="6"/>
      <c r="D1" s="6" t="s">
        <v>6</v>
      </c>
      <c r="E1" s="6" t="s">
        <v>230</v>
      </c>
      <c r="F1" s="6"/>
      <c r="G1" s="6" t="s">
        <v>231</v>
      </c>
      <c r="H1" s="6" t="s">
        <v>230</v>
      </c>
      <c r="I1" s="6"/>
      <c r="J1" s="6" t="s">
        <v>1</v>
      </c>
      <c r="K1" s="6" t="s">
        <v>232</v>
      </c>
      <c r="L1" s="6"/>
      <c r="M1" s="6" t="s">
        <v>2</v>
      </c>
      <c r="N1" s="6" t="s">
        <v>3</v>
      </c>
    </row>
    <row r="2" spans="1:14" x14ac:dyDescent="0.25">
      <c r="A2" s="7" t="s">
        <v>25</v>
      </c>
      <c r="B2" s="7">
        <f>ROUND(SUMIF('Cleaned Data'!B2:B217,A2,'Cleaned Data'!D2:D217),2)</f>
        <v>63527</v>
      </c>
      <c r="C2" s="7"/>
      <c r="D2" s="7" t="s">
        <v>11</v>
      </c>
      <c r="E2" s="7">
        <f>ROUND(SUMIF('Cleaned Data'!G2:G217,D2,'Cleaned Data'!D2:D217),2)</f>
        <v>45912</v>
      </c>
      <c r="F2" s="7"/>
      <c r="G2" s="7" t="s">
        <v>21</v>
      </c>
      <c r="H2" s="7">
        <f>ROUND(SUMIF('Cleaned Data'!E2:E217,G2,'Cleaned Data'!D2:D217),2)</f>
        <v>109886</v>
      </c>
      <c r="I2" s="7"/>
      <c r="J2" s="7" t="s">
        <v>25</v>
      </c>
      <c r="K2" s="7">
        <f>COUNTIF('Cleaned Data'!B2:B217,J2)</f>
        <v>25</v>
      </c>
      <c r="L2" s="7"/>
      <c r="M2" s="7" t="s">
        <v>192</v>
      </c>
      <c r="N2" s="7">
        <v>14764</v>
      </c>
    </row>
    <row r="3" spans="1:14" x14ac:dyDescent="0.25">
      <c r="A3" s="7" t="s">
        <v>52</v>
      </c>
      <c r="B3" s="7">
        <f>ROUND(SUMIF('Cleaned Data'!B2:B217,A3,'Cleaned Data'!D2:D217),2)</f>
        <v>14321</v>
      </c>
      <c r="C3" s="7"/>
      <c r="D3" s="7" t="s">
        <v>50</v>
      </c>
      <c r="E3" s="7">
        <f>ROUND(SUMIF('Cleaned Data'!G2:G217,D3,'Cleaned Data'!D2:D217),2)</f>
        <v>41521</v>
      </c>
      <c r="F3" s="7"/>
      <c r="G3" s="7" t="s">
        <v>15</v>
      </c>
      <c r="H3" s="7">
        <f>ROUND(SUMIF('Cleaned Data'!E2:E217,G3,'Cleaned Data'!D2:D217),2)</f>
        <v>115428</v>
      </c>
      <c r="I3" s="7"/>
      <c r="J3" s="7" t="s">
        <v>52</v>
      </c>
      <c r="K3" s="7">
        <f>COUNTIF('Cleaned Data'!B2:B217,J3)</f>
        <v>28</v>
      </c>
      <c r="L3" s="7"/>
      <c r="M3" s="7" t="s">
        <v>9</v>
      </c>
      <c r="N3" s="7">
        <v>13925</v>
      </c>
    </row>
    <row r="4" spans="1:14" x14ac:dyDescent="0.25">
      <c r="A4" s="7" t="s">
        <v>28</v>
      </c>
      <c r="B4" s="7">
        <f>ROUND(SUMIF('Cleaned Data'!B2:B217,A4,'Cleaned Data'!D2:D217),2)</f>
        <v>8304</v>
      </c>
      <c r="C4" s="7"/>
      <c r="D4" s="7" t="s">
        <v>78</v>
      </c>
      <c r="E4" s="7">
        <f>ROUND(SUMIF('Cleaned Data'!G2:G217,D4,'Cleaned Data'!D2:D217),2)</f>
        <v>45972</v>
      </c>
      <c r="F4" s="7"/>
      <c r="G4" s="7" t="s">
        <v>27</v>
      </c>
      <c r="H4" s="7">
        <f>ROUND(SUMIF('Cleaned Data'!E2:E217,G4,'Cleaned Data'!D2:D217),2)</f>
        <v>51606</v>
      </c>
      <c r="I4" s="7"/>
      <c r="J4" s="7" t="s">
        <v>28</v>
      </c>
      <c r="K4" s="7">
        <f>COUNTIF('Cleaned Data'!B2:B217,J4)</f>
        <v>19</v>
      </c>
      <c r="L4" s="7"/>
      <c r="M4" s="7" t="s">
        <v>9</v>
      </c>
      <c r="N4" s="7">
        <v>13771</v>
      </c>
    </row>
    <row r="5" spans="1:14" x14ac:dyDescent="0.25">
      <c r="A5" s="7" t="s">
        <v>35</v>
      </c>
      <c r="B5" s="7">
        <f>ROUND(SUMIF('Cleaned Data'!B2:B217,A5,'Cleaned Data'!D2:D217),2)</f>
        <v>31338</v>
      </c>
      <c r="C5" s="7"/>
      <c r="D5" s="7" t="s">
        <v>105</v>
      </c>
      <c r="E5" s="7">
        <f>ROUND(SUMIF('Cleaned Data'!G2:G217,D5,'Cleaned Data'!D2:D217),2)</f>
        <v>33246</v>
      </c>
      <c r="F5" s="7"/>
      <c r="G5" s="7" t="s">
        <v>10</v>
      </c>
      <c r="H5" s="7">
        <f>ROUND(SUMIF('Cleaned Data'!E2:E217,G5,'Cleaned Data'!D2:D217),2)</f>
        <v>159352</v>
      </c>
      <c r="I5" s="7"/>
      <c r="J5" s="7" t="s">
        <v>35</v>
      </c>
      <c r="K5" s="7">
        <f>COUNTIF('Cleaned Data'!B2:B217,J5)</f>
        <v>24</v>
      </c>
      <c r="L5" s="7"/>
      <c r="M5" s="7" t="s">
        <v>61</v>
      </c>
      <c r="N5" s="7">
        <v>13587</v>
      </c>
    </row>
    <row r="6" spans="1:14" x14ac:dyDescent="0.25">
      <c r="A6" s="7" t="s">
        <v>23</v>
      </c>
      <c r="B6" s="7">
        <f>ROUND(SUMIF('Cleaned Data'!B2:B217,A6,'Cleaned Data'!D2:D217),2)</f>
        <v>29843</v>
      </c>
      <c r="C6" s="7"/>
      <c r="D6" s="7" t="s">
        <v>123</v>
      </c>
      <c r="E6" s="7">
        <f>ROUND(SUMIF('Cleaned Data'!G2:G217,D6,'Cleaned Data'!D2:D217),2)</f>
        <v>42144</v>
      </c>
      <c r="F6" s="7"/>
      <c r="G6" s="7" t="s">
        <v>13</v>
      </c>
      <c r="H6" s="7">
        <f>ROUND(SUMIF('Cleaned Data'!E2:E217,G6,'Cleaned Data'!D2:D217),2)</f>
        <v>9281</v>
      </c>
      <c r="I6" s="7"/>
      <c r="J6" s="7" t="s">
        <v>23</v>
      </c>
      <c r="K6" s="7">
        <f>COUNTIF('Cleaned Data'!B2:B217,J6)</f>
        <v>18</v>
      </c>
      <c r="L6" s="7"/>
      <c r="M6" s="7" t="s">
        <v>9</v>
      </c>
      <c r="N6" s="7">
        <v>12594</v>
      </c>
    </row>
    <row r="7" spans="1:14" x14ac:dyDescent="0.25">
      <c r="A7" s="7" t="s">
        <v>33</v>
      </c>
      <c r="B7" s="7">
        <f>ROUND(SUMIF('Cleaned Data'!B2:B217,A7,'Cleaned Data'!D2:D217),2)</f>
        <v>13242</v>
      </c>
      <c r="C7" s="7"/>
      <c r="D7" s="7" t="s">
        <v>142</v>
      </c>
      <c r="E7" s="7">
        <f>ROUND(SUMIF('Cleaned Data'!G2:G217,D7,'Cleaned Data'!D2:D217),2)</f>
        <v>22107</v>
      </c>
      <c r="F7" s="7"/>
      <c r="G7" s="7"/>
      <c r="H7" s="7"/>
      <c r="I7" s="7"/>
      <c r="J7" s="7" t="s">
        <v>33</v>
      </c>
      <c r="K7" s="7">
        <f>COUNTIF('Cleaned Data'!B2:B217,J7)</f>
        <v>15</v>
      </c>
      <c r="L7" s="7"/>
      <c r="M7" s="7"/>
      <c r="N7" s="7"/>
    </row>
    <row r="8" spans="1:14" x14ac:dyDescent="0.25">
      <c r="A8" s="7" t="s">
        <v>8</v>
      </c>
      <c r="B8" s="7">
        <f>ROUND(SUMIF('Cleaned Data'!B2:B217,A8,'Cleaned Data'!D2:D217),2)</f>
        <v>176405</v>
      </c>
      <c r="C8" s="7"/>
      <c r="D8" s="7" t="s">
        <v>158</v>
      </c>
      <c r="E8" s="7">
        <f>ROUND(SUMIF('Cleaned Data'!G2:G217,D8,'Cleaned Data'!D2:D217),2)</f>
        <v>59378</v>
      </c>
      <c r="F8" s="7"/>
      <c r="G8" s="7"/>
      <c r="H8" s="7"/>
      <c r="I8" s="7"/>
      <c r="J8" s="7" t="s">
        <v>8</v>
      </c>
      <c r="K8" s="7">
        <f>COUNTIF('Cleaned Data'!B2:B217,J8)</f>
        <v>15</v>
      </c>
      <c r="L8" s="7"/>
      <c r="M8" s="7"/>
      <c r="N8" s="7"/>
    </row>
    <row r="9" spans="1:14" x14ac:dyDescent="0.25">
      <c r="A9" s="7" t="s">
        <v>16</v>
      </c>
      <c r="B9" s="7">
        <f>ROUND(SUMIF('Cleaned Data'!B2:B217,A9,'Cleaned Data'!D2:D217),2)</f>
        <v>68475</v>
      </c>
      <c r="C9" s="7"/>
      <c r="D9" s="7" t="s">
        <v>179</v>
      </c>
      <c r="E9" s="7">
        <f>ROUND(SUMIF('Cleaned Data'!G2:G217,D9,'Cleaned Data'!D2:D217),2)</f>
        <v>35357</v>
      </c>
      <c r="F9" s="7"/>
      <c r="G9" s="7"/>
      <c r="H9" s="7"/>
      <c r="I9" s="7"/>
      <c r="J9" s="7" t="s">
        <v>16</v>
      </c>
      <c r="K9" s="7">
        <f>COUNTIF('Cleaned Data'!B2:B217,J9)</f>
        <v>32</v>
      </c>
      <c r="L9" s="7"/>
      <c r="M9" s="7"/>
      <c r="N9" s="7"/>
    </row>
    <row r="10" spans="1:14" x14ac:dyDescent="0.25">
      <c r="A10" s="7" t="s">
        <v>41</v>
      </c>
      <c r="B10" s="7">
        <f>ROUND(SUMIF('Cleaned Data'!B2:B217,A10,'Cleaned Data'!D2:D217),2)</f>
        <v>5045</v>
      </c>
      <c r="C10" s="7"/>
      <c r="D10" s="7" t="s">
        <v>195</v>
      </c>
      <c r="E10" s="7">
        <f>ROUND(SUMIF('Cleaned Data'!G2:G217,D10,'Cleaned Data'!D2:D217),2)</f>
        <v>42369</v>
      </c>
      <c r="F10" s="7"/>
      <c r="G10" s="7"/>
      <c r="H10" s="7"/>
      <c r="I10" s="7"/>
      <c r="J10" s="7" t="s">
        <v>41</v>
      </c>
      <c r="K10" s="7">
        <f>COUNTIF('Cleaned Data'!B2:B217,J10)</f>
        <v>14</v>
      </c>
      <c r="L10" s="7"/>
      <c r="M10" s="7"/>
      <c r="N10" s="7"/>
    </row>
    <row r="11" spans="1:14" x14ac:dyDescent="0.25">
      <c r="A11" s="7" t="s">
        <v>13</v>
      </c>
      <c r="B11" s="7">
        <f>ROUND(SUMIF('Cleaned Data'!B2:B217,A11,'Cleaned Data'!D2:D217),2)</f>
        <v>11145</v>
      </c>
      <c r="C11" s="7"/>
      <c r="D11" s="7" t="s">
        <v>207</v>
      </c>
      <c r="E11" s="7">
        <f>ROUND(SUMIF('Cleaned Data'!G2:G217,D11,'Cleaned Data'!D2:D217),2)</f>
        <v>59635</v>
      </c>
      <c r="F11" s="7"/>
      <c r="G11" s="7"/>
      <c r="H11" s="7"/>
      <c r="I11" s="7"/>
      <c r="J11" s="7" t="s">
        <v>13</v>
      </c>
      <c r="K11" s="7">
        <f>COUNTIF('Cleaned Data'!B2:B217,J11)</f>
        <v>6</v>
      </c>
      <c r="L11" s="7"/>
      <c r="M11" s="7"/>
      <c r="N11" s="7"/>
    </row>
    <row r="12" spans="1:14" x14ac:dyDescent="0.25">
      <c r="A12" s="7" t="s">
        <v>55</v>
      </c>
      <c r="B12" s="7">
        <f>ROUND(SUMIF('Cleaned Data'!B2:B217,A12,'Cleaned Data'!D2:D217),2)</f>
        <v>23908</v>
      </c>
      <c r="C12" s="7"/>
      <c r="D12" s="7" t="s">
        <v>225</v>
      </c>
      <c r="E12" s="7">
        <f>ROUND(SUMIF('Cleaned Data'!G2:G217,D12,'Cleaned Data'!D2:D217),2)</f>
        <v>4961</v>
      </c>
      <c r="F12" s="7"/>
      <c r="G12" s="7"/>
      <c r="H12" s="7"/>
      <c r="I12" s="7"/>
      <c r="J12" s="7" t="s">
        <v>55</v>
      </c>
      <c r="K12" s="7">
        <f>COUNTIF('Cleaned Data'!B2:B217,J12)</f>
        <v>20</v>
      </c>
      <c r="L12" s="7"/>
      <c r="M12" s="7"/>
      <c r="N12" s="7"/>
    </row>
    <row r="13" spans="1:14" x14ac:dyDescent="0.25">
      <c r="A13" s="7"/>
      <c r="B13" s="7"/>
      <c r="C13" s="7"/>
      <c r="D13" s="7" t="s">
        <v>229</v>
      </c>
      <c r="E13" s="7">
        <f>ROUND(SUMIF('Cleaned Data'!G2:G217,D13,'Cleaned Data'!D2:D217),2)</f>
        <v>12951</v>
      </c>
      <c r="F13" s="7"/>
      <c r="G13" s="7"/>
      <c r="H13" s="7"/>
      <c r="I13" s="7"/>
      <c r="J13" s="7"/>
      <c r="K13" s="7"/>
      <c r="L13" s="7"/>
      <c r="M13" s="7"/>
      <c r="N1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showGridLines="0" zoomScale="55" zoomScaleNormal="55" workbookViewId="0">
      <selection activeCell="V16" sqref="V16"/>
    </sheetView>
  </sheetViews>
  <sheetFormatPr defaultColWidth="8.7109375" defaultRowHeight="15" x14ac:dyDescent="0.25"/>
  <cols>
    <col min="1" max="16" width="11" customWidth="1"/>
  </cols>
  <sheetData>
    <row r="1" spans="1:1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5" x14ac:dyDescent="0.25">
      <c r="A5" s="12"/>
      <c r="B5" s="12"/>
      <c r="C5" s="12"/>
      <c r="E5" s="12"/>
      <c r="F5" s="12"/>
      <c r="G5" s="12"/>
      <c r="I5" s="12"/>
      <c r="J5" s="12"/>
      <c r="K5" s="12"/>
      <c r="M5" s="12"/>
      <c r="N5" s="12"/>
      <c r="O5" s="12"/>
    </row>
    <row r="6" spans="1:15" ht="30" customHeight="1" x14ac:dyDescent="0.25">
      <c r="A6" s="11"/>
      <c r="B6" s="11"/>
      <c r="C6" s="11"/>
      <c r="E6" s="13"/>
      <c r="F6" s="13"/>
      <c r="G6" s="13"/>
      <c r="I6" s="11"/>
      <c r="J6" s="11"/>
      <c r="K6" s="11"/>
      <c r="M6" s="14"/>
      <c r="N6" s="14"/>
      <c r="O6" s="14"/>
    </row>
    <row r="7" spans="1:15" ht="15" customHeight="1" x14ac:dyDescent="0.25">
      <c r="A7" s="11"/>
      <c r="B7" s="11"/>
      <c r="C7" s="11"/>
      <c r="E7" s="13"/>
      <c r="F7" s="13"/>
      <c r="G7" s="13"/>
      <c r="I7" s="11"/>
      <c r="J7" s="11"/>
      <c r="K7" s="11"/>
      <c r="M7" s="14"/>
      <c r="N7" s="14"/>
      <c r="O7" s="14"/>
    </row>
  </sheetData>
  <mergeCells count="10">
    <mergeCell ref="A6:C7"/>
    <mergeCell ref="E6:G7"/>
    <mergeCell ref="I6:K7"/>
    <mergeCell ref="M6:O7"/>
    <mergeCell ref="A1:N2"/>
    <mergeCell ref="A3:N3"/>
    <mergeCell ref="A5:C5"/>
    <mergeCell ref="E5:G5"/>
    <mergeCell ref="I5:K5"/>
    <mergeCell ref="M5:O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zoomScaleNormal="100" workbookViewId="0">
      <selection sqref="A1:B1"/>
    </sheetView>
  </sheetViews>
  <sheetFormatPr defaultColWidth="8.7109375" defaultRowHeight="15" x14ac:dyDescent="0.25"/>
  <cols>
    <col min="1" max="1" width="30" customWidth="1"/>
    <col min="2" max="2" width="100" customWidth="1"/>
  </cols>
  <sheetData>
    <row r="1" spans="1:2" ht="18" x14ac:dyDescent="0.25">
      <c r="A1" s="1" t="s">
        <v>233</v>
      </c>
      <c r="B1" s="1"/>
    </row>
    <row r="3" spans="1:2" x14ac:dyDescent="0.25">
      <c r="A3" s="8"/>
      <c r="B3" s="8"/>
    </row>
    <row r="4" spans="1:2" x14ac:dyDescent="0.25">
      <c r="A4" s="8" t="s">
        <v>234</v>
      </c>
      <c r="B4" s="8" t="s">
        <v>235</v>
      </c>
    </row>
    <row r="5" spans="1:2" x14ac:dyDescent="0.25">
      <c r="A5" s="8" t="s">
        <v>236</v>
      </c>
      <c r="B5" s="8" t="s">
        <v>237</v>
      </c>
    </row>
    <row r="6" spans="1:2" x14ac:dyDescent="0.25">
      <c r="A6" s="8"/>
      <c r="B6" s="8"/>
    </row>
    <row r="7" spans="1:2" x14ac:dyDescent="0.25">
      <c r="A7" s="9" t="s">
        <v>238</v>
      </c>
      <c r="B7" s="8"/>
    </row>
    <row r="8" spans="1:2" x14ac:dyDescent="0.25">
      <c r="A8" s="8" t="s">
        <v>239</v>
      </c>
      <c r="B8" s="8" t="s">
        <v>240</v>
      </c>
    </row>
    <row r="9" spans="1:2" x14ac:dyDescent="0.25">
      <c r="A9" s="8" t="s">
        <v>241</v>
      </c>
      <c r="B9" s="8" t="s">
        <v>242</v>
      </c>
    </row>
    <row r="10" spans="1:2" x14ac:dyDescent="0.25">
      <c r="A10" s="8" t="s">
        <v>243</v>
      </c>
      <c r="B10" s="8" t="s">
        <v>244</v>
      </c>
    </row>
    <row r="11" spans="1:2" x14ac:dyDescent="0.25">
      <c r="A11" s="8" t="s">
        <v>245</v>
      </c>
      <c r="B11" s="8" t="s">
        <v>246</v>
      </c>
    </row>
    <row r="12" spans="1:2" ht="25.5" x14ac:dyDescent="0.25">
      <c r="A12" s="8" t="s">
        <v>247</v>
      </c>
      <c r="B12" s="8" t="s">
        <v>248</v>
      </c>
    </row>
    <row r="13" spans="1:2" ht="25.5" x14ac:dyDescent="0.25">
      <c r="A13" s="8" t="s">
        <v>249</v>
      </c>
      <c r="B13" s="8" t="s">
        <v>250</v>
      </c>
    </row>
    <row r="14" spans="1:2" x14ac:dyDescent="0.25">
      <c r="A14" s="8" t="s">
        <v>251</v>
      </c>
      <c r="B14" s="8" t="s">
        <v>252</v>
      </c>
    </row>
    <row r="15" spans="1:2" x14ac:dyDescent="0.25">
      <c r="A15" s="8"/>
      <c r="B15" s="8"/>
    </row>
    <row r="16" spans="1:2" ht="25.5" x14ac:dyDescent="0.25">
      <c r="A16" s="9" t="s">
        <v>253</v>
      </c>
      <c r="B16" s="8" t="s">
        <v>254</v>
      </c>
    </row>
    <row r="17" spans="1:2" x14ac:dyDescent="0.25">
      <c r="A17" s="10"/>
      <c r="B17" s="10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Chart Data</vt:lpstr>
      <vt:lpstr>Dashboard</vt:lpstr>
      <vt:lpstr>How It Was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princekoundal395@gmail.com</cp:lastModifiedBy>
  <cp:revision>1</cp:revision>
  <dcterms:created xsi:type="dcterms:W3CDTF">2026-08-08T06:51:52Z</dcterms:created>
  <dcterms:modified xsi:type="dcterms:W3CDTF">2026-08-25T12:00:06Z</dcterms:modified>
  <dc:language>en-US</dc:language>
</cp:coreProperties>
</file>